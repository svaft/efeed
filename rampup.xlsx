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DEV\projects\efeed\"/>
    </mc:Choice>
  </mc:AlternateContent>
  <bookViews>
    <workbookView xWindow="0" yWindow="0" windowWidth="18255" windowHeight="7890"/>
  </bookViews>
  <sheets>
    <sheet name="Лист1" sheetId="1" r:id="rId1"/>
    <sheet name="Лист3" sheetId="3" r:id="rId2"/>
    <sheet name="arc" sheetId="5" r:id="rId3"/>
    <sheet name="ellipse" sheetId="7" r:id="rId4"/>
    <sheet name="Лист2" sheetId="6" r:id="rId5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6" i="1" l="1"/>
  <c r="H6" i="1"/>
  <c r="K5" i="1"/>
  <c r="K6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7" i="1"/>
  <c r="K21" i="1"/>
  <c r="P5" i="1"/>
  <c r="G5" i="1"/>
  <c r="B9" i="1"/>
  <c r="B5" i="1" l="1"/>
  <c r="B10" i="1" l="1"/>
  <c r="S2" i="1"/>
  <c r="K11" i="7" l="1"/>
  <c r="K13" i="7"/>
  <c r="K14" i="7" s="1"/>
  <c r="K12" i="7"/>
  <c r="K15" i="7" s="1"/>
  <c r="N6" i="7" l="1"/>
  <c r="B6" i="7"/>
  <c r="B5" i="7"/>
  <c r="F3" i="7" s="1"/>
  <c r="H4" i="7"/>
  <c r="B4" i="7"/>
  <c r="B3" i="7"/>
  <c r="G4" i="7" s="1"/>
  <c r="I4" i="7" s="1"/>
  <c r="T2" i="7"/>
  <c r="K2" i="7"/>
  <c r="N2" i="7" s="1"/>
  <c r="T1" i="7"/>
  <c r="U1" i="7" s="1"/>
  <c r="P24" i="7" l="1"/>
  <c r="W24" i="7" s="1"/>
  <c r="Z24" i="7" s="1"/>
  <c r="S47" i="7"/>
  <c r="R42" i="7"/>
  <c r="S12" i="7"/>
  <c r="P20" i="7"/>
  <c r="W20" i="7" s="1"/>
  <c r="Z20" i="7" s="1"/>
  <c r="AD20" i="7" s="1"/>
  <c r="S19" i="7"/>
  <c r="Q6" i="7"/>
  <c r="R22" i="7"/>
  <c r="S7" i="7"/>
  <c r="Q23" i="7"/>
  <c r="Q49" i="7"/>
  <c r="Q50" i="7"/>
  <c r="R6" i="7"/>
  <c r="Q10" i="7"/>
  <c r="P34" i="7"/>
  <c r="W34" i="7" s="1"/>
  <c r="P9" i="7"/>
  <c r="W9" i="7" s="1"/>
  <c r="F4" i="7"/>
  <c r="E4" i="7" s="1"/>
  <c r="R11" i="7"/>
  <c r="P38" i="7"/>
  <c r="W38" i="7" s="1"/>
  <c r="AA24" i="7"/>
  <c r="P6" i="7"/>
  <c r="W6" i="7" s="1"/>
  <c r="P8" i="7"/>
  <c r="W8" i="7" s="1"/>
  <c r="Q9" i="7"/>
  <c r="R10" i="7"/>
  <c r="S11" i="7"/>
  <c r="Q20" i="7"/>
  <c r="AC20" i="7"/>
  <c r="S22" i="7"/>
  <c r="R23" i="7"/>
  <c r="U23" i="7" s="1"/>
  <c r="Q24" i="7"/>
  <c r="P25" i="7"/>
  <c r="W25" i="7" s="1"/>
  <c r="P33" i="7"/>
  <c r="W33" i="7" s="1"/>
  <c r="Q34" i="7"/>
  <c r="R36" i="7"/>
  <c r="Q45" i="7"/>
  <c r="R49" i="7"/>
  <c r="U49" i="7" s="1"/>
  <c r="S46" i="7"/>
  <c r="Q44" i="7"/>
  <c r="S42" i="7"/>
  <c r="R39" i="7"/>
  <c r="P37" i="7"/>
  <c r="W37" i="7" s="1"/>
  <c r="S50" i="7"/>
  <c r="T50" i="7" s="1"/>
  <c r="Q48" i="7"/>
  <c r="P47" i="7"/>
  <c r="W47" i="7" s="1"/>
  <c r="R45" i="7"/>
  <c r="P43" i="7"/>
  <c r="W43" i="7" s="1"/>
  <c r="Q38" i="7"/>
  <c r="S36" i="7"/>
  <c r="R35" i="7"/>
  <c r="R7" i="7"/>
  <c r="S8" i="7"/>
  <c r="U10" i="7"/>
  <c r="P13" i="7"/>
  <c r="W13" i="7" s="1"/>
  <c r="Q14" i="7"/>
  <c r="R18" i="7"/>
  <c r="Q21" i="7"/>
  <c r="S25" i="7"/>
  <c r="R26" i="7"/>
  <c r="Q31" i="7"/>
  <c r="R32" i="7"/>
  <c r="S33" i="7"/>
  <c r="Q39" i="7"/>
  <c r="S43" i="7"/>
  <c r="P48" i="7"/>
  <c r="W48" i="7" s="1"/>
  <c r="R50" i="7"/>
  <c r="U50" i="7" s="1"/>
  <c r="P12" i="7"/>
  <c r="W12" i="7" s="1"/>
  <c r="Q13" i="7"/>
  <c r="R14" i="7"/>
  <c r="S18" i="7"/>
  <c r="P19" i="7"/>
  <c r="W19" i="7" s="1"/>
  <c r="R21" i="7"/>
  <c r="S26" i="7"/>
  <c r="R31" i="7"/>
  <c r="S32" i="7"/>
  <c r="Q35" i="7"/>
  <c r="S37" i="7"/>
  <c r="P44" i="7"/>
  <c r="W44" i="7" s="1"/>
  <c r="R46" i="7"/>
  <c r="S6" i="7"/>
  <c r="P7" i="7"/>
  <c r="W7" i="7" s="1"/>
  <c r="Q8" i="7"/>
  <c r="R9" i="7"/>
  <c r="S10" i="7"/>
  <c r="T10" i="7" s="1"/>
  <c r="P11" i="7"/>
  <c r="W11" i="7" s="1"/>
  <c r="Q12" i="7"/>
  <c r="R13" i="7"/>
  <c r="S14" i="7"/>
  <c r="P18" i="7"/>
  <c r="W18" i="7" s="1"/>
  <c r="Q19" i="7"/>
  <c r="V19" i="7" s="1"/>
  <c r="R20" i="7"/>
  <c r="S21" i="7"/>
  <c r="P22" i="7"/>
  <c r="W22" i="7" s="1"/>
  <c r="S23" i="7"/>
  <c r="T23" i="7" s="1"/>
  <c r="R24" i="7"/>
  <c r="Q25" i="7"/>
  <c r="P26" i="7"/>
  <c r="W26" i="7" s="1"/>
  <c r="S31" i="7"/>
  <c r="P32" i="7"/>
  <c r="W32" i="7" s="1"/>
  <c r="Q33" i="7"/>
  <c r="R34" i="7"/>
  <c r="S35" i="7"/>
  <c r="P36" i="7"/>
  <c r="W36" i="7" s="1"/>
  <c r="Q37" i="7"/>
  <c r="R38" i="7"/>
  <c r="S39" i="7"/>
  <c r="P42" i="7"/>
  <c r="W42" i="7" s="1"/>
  <c r="Q43" i="7"/>
  <c r="R44" i="7"/>
  <c r="S45" i="7"/>
  <c r="P46" i="7"/>
  <c r="W46" i="7" s="1"/>
  <c r="Q47" i="7"/>
  <c r="R48" i="7"/>
  <c r="S49" i="7"/>
  <c r="T49" i="7" s="1"/>
  <c r="P50" i="7"/>
  <c r="W50" i="7" s="1"/>
  <c r="Q7" i="7"/>
  <c r="R8" i="7"/>
  <c r="S9" i="7"/>
  <c r="P10" i="7"/>
  <c r="W10" i="7" s="1"/>
  <c r="Q11" i="7"/>
  <c r="R12" i="7"/>
  <c r="S13" i="7"/>
  <c r="P14" i="7"/>
  <c r="W14" i="7" s="1"/>
  <c r="Q18" i="7"/>
  <c r="V18" i="7" s="1"/>
  <c r="R19" i="7"/>
  <c r="S20" i="7"/>
  <c r="P21" i="7"/>
  <c r="W21" i="7" s="1"/>
  <c r="Q22" i="7"/>
  <c r="P23" i="7"/>
  <c r="W23" i="7" s="1"/>
  <c r="S24" i="7"/>
  <c r="R25" i="7"/>
  <c r="Q26" i="7"/>
  <c r="P31" i="7"/>
  <c r="W31" i="7" s="1"/>
  <c r="Q32" i="7"/>
  <c r="R33" i="7"/>
  <c r="S34" i="7"/>
  <c r="P35" i="7"/>
  <c r="W35" i="7" s="1"/>
  <c r="Q36" i="7"/>
  <c r="R37" i="7"/>
  <c r="S38" i="7"/>
  <c r="P39" i="7"/>
  <c r="W39" i="7" s="1"/>
  <c r="Q42" i="7"/>
  <c r="R43" i="7"/>
  <c r="S44" i="7"/>
  <c r="P45" i="7"/>
  <c r="W45" i="7" s="1"/>
  <c r="Q46" i="7"/>
  <c r="R47" i="7"/>
  <c r="S48" i="7"/>
  <c r="P49" i="7"/>
  <c r="W49" i="7" s="1"/>
  <c r="B5" i="5"/>
  <c r="C5" i="5"/>
  <c r="D5" i="5" s="1"/>
  <c r="C6" i="5"/>
  <c r="B7" i="5"/>
  <c r="C7" i="5"/>
  <c r="D7" i="5"/>
  <c r="C8" i="5"/>
  <c r="C9" i="5"/>
  <c r="D9" i="5"/>
  <c r="C10" i="5"/>
  <c r="D10" i="5"/>
  <c r="B11" i="5"/>
  <c r="C11" i="5"/>
  <c r="B12" i="5"/>
  <c r="C12" i="5" s="1"/>
  <c r="B13" i="5"/>
  <c r="C13" i="5"/>
  <c r="B14" i="5"/>
  <c r="C14" i="5"/>
  <c r="B15" i="5"/>
  <c r="C15" i="5" s="1"/>
  <c r="B18" i="5"/>
  <c r="C18" i="5"/>
  <c r="D18" i="5" s="1"/>
  <c r="B19" i="5"/>
  <c r="C19" i="5" s="1"/>
  <c r="D19" i="5" s="1"/>
  <c r="B20" i="5"/>
  <c r="C20" i="5" s="1"/>
  <c r="D20" i="5" s="1"/>
  <c r="B21" i="5"/>
  <c r="C21" i="5" s="1"/>
  <c r="D21" i="5" s="1"/>
  <c r="B16" i="5" l="1"/>
  <c r="C16" i="5" s="1"/>
  <c r="D16" i="5" s="1"/>
  <c r="AA20" i="7"/>
  <c r="V20" i="7"/>
  <c r="V21" i="7"/>
  <c r="AC19" i="7"/>
  <c r="AA19" i="7"/>
  <c r="Z19" i="7"/>
  <c r="AD19" i="7" s="1"/>
  <c r="U34" i="7"/>
  <c r="T34" i="7"/>
  <c r="U46" i="7"/>
  <c r="T46" i="7"/>
  <c r="U42" i="7"/>
  <c r="T42" i="7"/>
  <c r="U36" i="7"/>
  <c r="T36" i="7"/>
  <c r="U32" i="7"/>
  <c r="T32" i="7"/>
  <c r="U19" i="7"/>
  <c r="T19" i="7"/>
  <c r="U12" i="7"/>
  <c r="T12" i="7"/>
  <c r="U8" i="7"/>
  <c r="T8" i="7"/>
  <c r="T14" i="7"/>
  <c r="U14" i="7"/>
  <c r="U38" i="7"/>
  <c r="T38" i="7"/>
  <c r="U48" i="7"/>
  <c r="T48" i="7"/>
  <c r="AA21" i="7"/>
  <c r="Z21" i="7"/>
  <c r="AD21" i="7" s="1"/>
  <c r="AC21" i="7"/>
  <c r="AA23" i="7"/>
  <c r="Z23" i="7"/>
  <c r="AA26" i="7"/>
  <c r="Z26" i="7"/>
  <c r="AA22" i="7"/>
  <c r="Z22" i="7"/>
  <c r="AC18" i="7"/>
  <c r="AA18" i="7"/>
  <c r="Z18" i="7"/>
  <c r="AD18" i="7" s="1"/>
  <c r="T6" i="7"/>
  <c r="U6" i="7"/>
  <c r="U44" i="7"/>
  <c r="T44" i="7"/>
  <c r="T45" i="7"/>
  <c r="U45" i="7"/>
  <c r="Z25" i="7"/>
  <c r="AA25" i="7"/>
  <c r="U9" i="7"/>
  <c r="T9" i="7"/>
  <c r="T39" i="7"/>
  <c r="U39" i="7"/>
  <c r="U26" i="7"/>
  <c r="T26" i="7"/>
  <c r="U22" i="7"/>
  <c r="T22" i="7"/>
  <c r="U18" i="7"/>
  <c r="T18" i="7"/>
  <c r="U11" i="7"/>
  <c r="T11" i="7"/>
  <c r="U7" i="7"/>
  <c r="T7" i="7"/>
  <c r="T47" i="7"/>
  <c r="U47" i="7"/>
  <c r="U43" i="7"/>
  <c r="T43" i="7"/>
  <c r="T37" i="7"/>
  <c r="U37" i="7"/>
  <c r="U33" i="7"/>
  <c r="T33" i="7"/>
  <c r="U25" i="7"/>
  <c r="T25" i="7"/>
  <c r="T35" i="7"/>
  <c r="U35" i="7"/>
  <c r="U13" i="7"/>
  <c r="T13" i="7"/>
  <c r="T31" i="7"/>
  <c r="U31" i="7"/>
  <c r="T21" i="7"/>
  <c r="U21" i="7"/>
  <c r="U24" i="7"/>
  <c r="T24" i="7"/>
  <c r="U20" i="7"/>
  <c r="T20" i="7"/>
  <c r="A18" i="3"/>
  <c r="A7" i="3"/>
  <c r="A4" i="3" s="1"/>
  <c r="A5" i="3"/>
  <c r="A15" i="3" s="1"/>
  <c r="A2" i="3"/>
  <c r="A6" i="3" s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A8" i="3" l="1"/>
  <c r="A11" i="3"/>
  <c r="A16" i="3"/>
  <c r="A19" i="3"/>
  <c r="A20" i="3" s="1"/>
  <c r="A21" i="3" s="1"/>
  <c r="B20" i="1" l="1"/>
  <c r="N3" i="1"/>
  <c r="B7" i="1"/>
  <c r="B22" i="1"/>
  <c r="O2" i="1" l="1"/>
  <c r="O3" i="1"/>
  <c r="D3" i="1"/>
  <c r="B15" i="1"/>
  <c r="B17" i="1"/>
  <c r="F5" i="1" s="1"/>
  <c r="F6" i="1" s="1"/>
  <c r="F7" i="1" s="1"/>
  <c r="F8" i="1" s="1"/>
  <c r="F9" i="1" l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J5" i="1"/>
  <c r="O5" i="1" l="1"/>
  <c r="L6" i="1"/>
  <c r="G6" i="1" l="1"/>
  <c r="O6" i="1" s="1"/>
  <c r="S6" i="1"/>
  <c r="M5" i="1"/>
  <c r="L7" i="1" l="1"/>
  <c r="G7" i="1" s="1"/>
  <c r="L8" i="1" s="1"/>
  <c r="Q5" i="1"/>
  <c r="R5" i="1"/>
  <c r="D6" i="1"/>
  <c r="M6" i="1" l="1"/>
  <c r="J6" i="1"/>
  <c r="S7" i="1"/>
  <c r="Q6" i="1"/>
  <c r="R6" i="1"/>
  <c r="N6" i="1"/>
  <c r="I6" i="1"/>
  <c r="G8" i="1"/>
  <c r="L9" i="1" s="1"/>
  <c r="S8" i="1"/>
  <c r="D7" i="1"/>
  <c r="O7" i="1"/>
  <c r="H7" i="1"/>
  <c r="J7" i="1" s="1"/>
  <c r="P7" i="1"/>
  <c r="D8" i="1" l="1"/>
  <c r="H8" i="1"/>
  <c r="G9" i="1"/>
  <c r="P9" i="1" s="1"/>
  <c r="S9" i="1"/>
  <c r="M7" i="1"/>
  <c r="I7" i="1"/>
  <c r="P8" i="1"/>
  <c r="O8" i="1"/>
  <c r="M8" i="1" l="1"/>
  <c r="J8" i="1"/>
  <c r="Q8" i="1"/>
  <c r="R8" i="1"/>
  <c r="Q7" i="1"/>
  <c r="R7" i="1"/>
  <c r="I8" i="1"/>
  <c r="L10" i="1"/>
  <c r="O9" i="1"/>
  <c r="H9" i="1"/>
  <c r="J9" i="1" s="1"/>
  <c r="D9" i="1"/>
  <c r="N7" i="1"/>
  <c r="N8" i="1"/>
  <c r="M9" i="1" l="1"/>
  <c r="I9" i="1"/>
  <c r="G10" i="1"/>
  <c r="S10" i="1"/>
  <c r="Q9" i="1" l="1"/>
  <c r="R9" i="1"/>
  <c r="D10" i="1"/>
  <c r="H10" i="1"/>
  <c r="J10" i="1" s="1"/>
  <c r="L11" i="1"/>
  <c r="O10" i="1"/>
  <c r="P10" i="1"/>
  <c r="N9" i="1"/>
  <c r="M10" i="1" l="1"/>
  <c r="I10" i="1"/>
  <c r="G11" i="1"/>
  <c r="S11" i="1"/>
  <c r="R10" i="1" l="1"/>
  <c r="Q10" i="1"/>
  <c r="H11" i="1"/>
  <c r="J11" i="1" s="1"/>
  <c r="O11" i="1"/>
  <c r="P11" i="1"/>
  <c r="L12" i="1"/>
  <c r="D11" i="1"/>
  <c r="N10" i="1"/>
  <c r="G12" i="1" l="1"/>
  <c r="S12" i="1"/>
  <c r="M11" i="1"/>
  <c r="I11" i="1"/>
  <c r="R11" i="1" l="1"/>
  <c r="Q11" i="1"/>
  <c r="H12" i="1"/>
  <c r="J12" i="1" s="1"/>
  <c r="L13" i="1"/>
  <c r="O12" i="1"/>
  <c r="P12" i="1"/>
  <c r="D12" i="1"/>
  <c r="N11" i="1"/>
  <c r="M12" i="1" l="1"/>
  <c r="I12" i="1"/>
  <c r="G13" i="1"/>
  <c r="S13" i="1"/>
  <c r="R12" i="1" l="1"/>
  <c r="Q12" i="1"/>
  <c r="H13" i="1"/>
  <c r="J13" i="1" s="1"/>
  <c r="O13" i="1"/>
  <c r="P13" i="1"/>
  <c r="L14" i="1"/>
  <c r="D13" i="1"/>
  <c r="N12" i="1"/>
  <c r="G14" i="1" l="1"/>
  <c r="S14" i="1"/>
  <c r="M13" i="1"/>
  <c r="I13" i="1"/>
  <c r="R13" i="1" l="1"/>
  <c r="Q13" i="1"/>
  <c r="N13" i="1"/>
  <c r="P14" i="1"/>
  <c r="H14" i="1"/>
  <c r="J14" i="1" s="1"/>
  <c r="L15" i="1"/>
  <c r="O14" i="1"/>
  <c r="D14" i="1"/>
  <c r="M14" i="1" l="1"/>
  <c r="I14" i="1"/>
  <c r="G15" i="1"/>
  <c r="S15" i="1"/>
  <c r="Q14" i="1" l="1"/>
  <c r="R14" i="1"/>
  <c r="H15" i="1"/>
  <c r="J15" i="1" s="1"/>
  <c r="L16" i="1"/>
  <c r="O15" i="1"/>
  <c r="P15" i="1"/>
  <c r="D15" i="1"/>
  <c r="N14" i="1"/>
  <c r="G16" i="1" l="1"/>
  <c r="S16" i="1"/>
  <c r="M15" i="1"/>
  <c r="I15" i="1"/>
  <c r="Q15" i="1" l="1"/>
  <c r="R15" i="1"/>
  <c r="N15" i="1"/>
  <c r="H16" i="1"/>
  <c r="J16" i="1" s="1"/>
  <c r="L17" i="1"/>
  <c r="O16" i="1"/>
  <c r="P16" i="1"/>
  <c r="D16" i="1"/>
  <c r="G17" i="1" l="1"/>
  <c r="S17" i="1"/>
  <c r="M16" i="1"/>
  <c r="I16" i="1"/>
  <c r="Q16" i="1" l="1"/>
  <c r="R16" i="1"/>
  <c r="N16" i="1"/>
  <c r="H17" i="1"/>
  <c r="J17" i="1" s="1"/>
  <c r="O17" i="1"/>
  <c r="P17" i="1"/>
  <c r="L18" i="1"/>
  <c r="D17" i="1"/>
  <c r="G18" i="1" l="1"/>
  <c r="S18" i="1"/>
  <c r="M17" i="1"/>
  <c r="I17" i="1"/>
  <c r="Q17" i="1" l="1"/>
  <c r="R17" i="1"/>
  <c r="N17" i="1"/>
  <c r="O18" i="1"/>
  <c r="P18" i="1"/>
  <c r="H18" i="1"/>
  <c r="J18" i="1" s="1"/>
  <c r="L19" i="1"/>
  <c r="D18" i="1"/>
  <c r="G19" i="1" l="1"/>
  <c r="S19" i="1"/>
  <c r="M18" i="1"/>
  <c r="I18" i="1"/>
  <c r="R18" i="1" l="1"/>
  <c r="Q18" i="1"/>
  <c r="N18" i="1"/>
  <c r="H19" i="1"/>
  <c r="J19" i="1" s="1"/>
  <c r="L20" i="1"/>
  <c r="P19" i="1"/>
  <c r="O19" i="1"/>
  <c r="D19" i="1"/>
  <c r="G20" i="1" l="1"/>
  <c r="S20" i="1"/>
  <c r="M19" i="1"/>
  <c r="I19" i="1"/>
  <c r="R19" i="1" l="1"/>
  <c r="Q19" i="1"/>
  <c r="N19" i="1"/>
  <c r="O20" i="1"/>
  <c r="P20" i="1"/>
  <c r="H20" i="1"/>
  <c r="J20" i="1" s="1"/>
  <c r="L21" i="1"/>
  <c r="D20" i="1"/>
  <c r="G21" i="1" l="1"/>
  <c r="S21" i="1"/>
  <c r="M20" i="1"/>
  <c r="I20" i="1"/>
  <c r="R20" i="1" l="1"/>
  <c r="Q20" i="1"/>
  <c r="N20" i="1"/>
  <c r="P21" i="1"/>
  <c r="H21" i="1"/>
  <c r="J21" i="1" s="1"/>
  <c r="L22" i="1"/>
  <c r="O21" i="1"/>
  <c r="D21" i="1"/>
  <c r="M21" i="1" l="1"/>
  <c r="I21" i="1"/>
  <c r="G22" i="1"/>
  <c r="S22" i="1"/>
  <c r="R21" i="1" l="1"/>
  <c r="Q21" i="1"/>
  <c r="P22" i="1"/>
  <c r="H22" i="1"/>
  <c r="J22" i="1" s="1"/>
  <c r="L23" i="1"/>
  <c r="O22" i="1"/>
  <c r="D22" i="1"/>
  <c r="N21" i="1"/>
  <c r="G23" i="1" l="1"/>
  <c r="S23" i="1"/>
  <c r="M22" i="1"/>
  <c r="I22" i="1"/>
  <c r="R22" i="1" l="1"/>
  <c r="Q22" i="1"/>
  <c r="N22" i="1"/>
  <c r="H23" i="1"/>
  <c r="J23" i="1" s="1"/>
  <c r="L24" i="1"/>
  <c r="P23" i="1"/>
  <c r="O23" i="1"/>
  <c r="D23" i="1"/>
  <c r="M23" i="1" l="1"/>
  <c r="I23" i="1"/>
  <c r="G24" i="1"/>
  <c r="S24" i="1"/>
  <c r="Q23" i="1" l="1"/>
  <c r="R23" i="1"/>
  <c r="P24" i="1"/>
  <c r="H24" i="1"/>
  <c r="J24" i="1" s="1"/>
  <c r="L25" i="1"/>
  <c r="O24" i="1"/>
  <c r="D24" i="1"/>
  <c r="N23" i="1"/>
  <c r="G25" i="1" l="1"/>
  <c r="S25" i="1"/>
  <c r="M24" i="1"/>
  <c r="I24" i="1"/>
  <c r="R24" i="1" l="1"/>
  <c r="Q24" i="1"/>
  <c r="N24" i="1"/>
  <c r="H25" i="1"/>
  <c r="J25" i="1" s="1"/>
  <c r="L26" i="1"/>
  <c r="O25" i="1"/>
  <c r="P25" i="1"/>
  <c r="D25" i="1"/>
  <c r="G26" i="1" l="1"/>
  <c r="S26" i="1"/>
  <c r="M25" i="1"/>
  <c r="I25" i="1"/>
  <c r="Q25" i="1" l="1"/>
  <c r="R25" i="1"/>
  <c r="N25" i="1"/>
  <c r="P26" i="1"/>
  <c r="L27" i="1"/>
  <c r="H26" i="1"/>
  <c r="J26" i="1" s="1"/>
  <c r="O26" i="1"/>
  <c r="D26" i="1"/>
  <c r="G27" i="1" l="1"/>
  <c r="S27" i="1"/>
  <c r="M26" i="1"/>
  <c r="I26" i="1"/>
  <c r="R26" i="1" l="1"/>
  <c r="Q26" i="1"/>
  <c r="N26" i="1"/>
  <c r="H27" i="1"/>
  <c r="J27" i="1" s="1"/>
  <c r="L28" i="1"/>
  <c r="O27" i="1"/>
  <c r="P27" i="1"/>
  <c r="D27" i="1"/>
  <c r="G28" i="1" l="1"/>
  <c r="S28" i="1"/>
  <c r="M27" i="1"/>
  <c r="I27" i="1"/>
  <c r="R27" i="1" l="1"/>
  <c r="Q27" i="1"/>
  <c r="N27" i="1"/>
  <c r="P28" i="1"/>
  <c r="H28" i="1"/>
  <c r="J28" i="1" s="1"/>
  <c r="L29" i="1"/>
  <c r="O28" i="1"/>
  <c r="D28" i="1"/>
  <c r="G29" i="1" l="1"/>
  <c r="S29" i="1"/>
  <c r="M28" i="1"/>
  <c r="I28" i="1"/>
  <c r="R28" i="1" l="1"/>
  <c r="Q28" i="1"/>
  <c r="N28" i="1"/>
  <c r="O29" i="1"/>
  <c r="H29" i="1"/>
  <c r="J29" i="1" s="1"/>
  <c r="L30" i="1"/>
  <c r="P29" i="1"/>
  <c r="D29" i="1"/>
  <c r="M29" i="1" l="1"/>
  <c r="I29" i="1"/>
  <c r="G30" i="1"/>
  <c r="S30" i="1"/>
  <c r="R29" i="1" l="1"/>
  <c r="Q29" i="1"/>
  <c r="P30" i="1"/>
  <c r="H30" i="1"/>
  <c r="J30" i="1" s="1"/>
  <c r="L31" i="1"/>
  <c r="O30" i="1"/>
  <c r="D30" i="1"/>
  <c r="N29" i="1"/>
  <c r="G31" i="1" l="1"/>
  <c r="S31" i="1"/>
  <c r="M30" i="1"/>
  <c r="I30" i="1"/>
  <c r="Q30" i="1" l="1"/>
  <c r="R30" i="1"/>
  <c r="N30" i="1"/>
  <c r="H31" i="1"/>
  <c r="J31" i="1" s="1"/>
  <c r="L32" i="1"/>
  <c r="O31" i="1"/>
  <c r="P31" i="1"/>
  <c r="D31" i="1"/>
  <c r="M31" i="1" l="1"/>
  <c r="I31" i="1"/>
  <c r="G32" i="1"/>
  <c r="S32" i="1"/>
  <c r="Q31" i="1" l="1"/>
  <c r="R31" i="1"/>
  <c r="P32" i="1"/>
  <c r="H32" i="1"/>
  <c r="J32" i="1" s="1"/>
  <c r="O32" i="1"/>
  <c r="L33" i="1"/>
  <c r="D32" i="1"/>
  <c r="N31" i="1"/>
  <c r="G33" i="1" l="1"/>
  <c r="S33" i="1"/>
  <c r="M32" i="1"/>
  <c r="I32" i="1"/>
  <c r="Q32" i="1" l="1"/>
  <c r="R32" i="1"/>
  <c r="N32" i="1"/>
  <c r="P33" i="1"/>
  <c r="H33" i="1"/>
  <c r="J33" i="1" s="1"/>
  <c r="L34" i="1"/>
  <c r="O33" i="1"/>
  <c r="D33" i="1"/>
  <c r="G34" i="1" l="1"/>
  <c r="S34" i="1"/>
  <c r="M33" i="1"/>
  <c r="I33" i="1"/>
  <c r="Q33" i="1" l="1"/>
  <c r="R33" i="1"/>
  <c r="N33" i="1"/>
  <c r="P34" i="1"/>
  <c r="H34" i="1"/>
  <c r="J34" i="1" s="1"/>
  <c r="O34" i="1"/>
  <c r="L35" i="1"/>
  <c r="D34" i="1"/>
  <c r="M34" i="1" l="1"/>
  <c r="I34" i="1"/>
  <c r="G35" i="1"/>
  <c r="S35" i="1"/>
  <c r="R34" i="1" l="1"/>
  <c r="Q34" i="1"/>
  <c r="L36" i="1"/>
  <c r="H35" i="1"/>
  <c r="J35" i="1" s="1"/>
  <c r="O35" i="1"/>
  <c r="P35" i="1"/>
  <c r="D35" i="1"/>
  <c r="N34" i="1"/>
  <c r="M35" i="1" l="1"/>
  <c r="I35" i="1"/>
  <c r="G36" i="1"/>
  <c r="S36" i="1"/>
  <c r="R35" i="1" l="1"/>
  <c r="Q35" i="1"/>
  <c r="H36" i="1"/>
  <c r="J36" i="1" s="1"/>
  <c r="P36" i="1"/>
  <c r="L37" i="1"/>
  <c r="O36" i="1"/>
  <c r="D36" i="1"/>
  <c r="N35" i="1"/>
  <c r="G37" i="1" l="1"/>
  <c r="S37" i="1"/>
  <c r="M36" i="1"/>
  <c r="I36" i="1"/>
  <c r="R36" i="1" l="1"/>
  <c r="Q36" i="1"/>
  <c r="H37" i="1"/>
  <c r="J37" i="1" s="1"/>
  <c r="P37" i="1"/>
  <c r="L38" i="1"/>
  <c r="O37" i="1"/>
  <c r="D37" i="1"/>
  <c r="G38" i="1" l="1"/>
  <c r="S38" i="1"/>
  <c r="M37" i="1"/>
  <c r="I37" i="1"/>
  <c r="R37" i="1" l="1"/>
  <c r="Q37" i="1"/>
  <c r="H38" i="1"/>
  <c r="J38" i="1" s="1"/>
  <c r="P38" i="1"/>
  <c r="L39" i="1"/>
  <c r="O38" i="1"/>
  <c r="G39" i="1" l="1"/>
  <c r="S39" i="1"/>
  <c r="M38" i="1"/>
  <c r="I38" i="1"/>
  <c r="R38" i="1" l="1"/>
  <c r="Q38" i="1"/>
  <c r="H39" i="1"/>
  <c r="J39" i="1" s="1"/>
  <c r="L40" i="1"/>
  <c r="O39" i="1"/>
  <c r="P39" i="1"/>
  <c r="G40" i="1" l="1"/>
  <c r="S40" i="1"/>
  <c r="M39" i="1"/>
  <c r="I39" i="1"/>
  <c r="Q39" i="1" l="1"/>
  <c r="R39" i="1"/>
  <c r="H40" i="1"/>
  <c r="J40" i="1" s="1"/>
  <c r="P40" i="1"/>
  <c r="L41" i="1"/>
  <c r="O40" i="1"/>
  <c r="G41" i="1" l="1"/>
  <c r="S41" i="1"/>
  <c r="M40" i="1"/>
  <c r="I40" i="1"/>
  <c r="Q40" i="1" l="1"/>
  <c r="R40" i="1"/>
  <c r="H41" i="1"/>
  <c r="J41" i="1" s="1"/>
  <c r="L42" i="1"/>
  <c r="P41" i="1"/>
  <c r="O41" i="1"/>
  <c r="G42" i="1" l="1"/>
  <c r="S42" i="1"/>
  <c r="M41" i="1"/>
  <c r="I41" i="1"/>
  <c r="Q41" i="1" l="1"/>
  <c r="R41" i="1"/>
  <c r="H42" i="1"/>
  <c r="J42" i="1" s="1"/>
  <c r="P42" i="1"/>
  <c r="O42" i="1"/>
  <c r="L43" i="1"/>
  <c r="G43" i="1" l="1"/>
  <c r="S43" i="1"/>
  <c r="M42" i="1"/>
  <c r="I42" i="1"/>
  <c r="R42" i="1" l="1"/>
  <c r="Q42" i="1"/>
  <c r="H43" i="1"/>
  <c r="J43" i="1" s="1"/>
  <c r="L44" i="1"/>
  <c r="P43" i="1"/>
  <c r="O43" i="1"/>
  <c r="G44" i="1" l="1"/>
  <c r="S44" i="1"/>
  <c r="M43" i="1"/>
  <c r="I43" i="1"/>
  <c r="R43" i="1" l="1"/>
  <c r="Q43" i="1"/>
  <c r="H44" i="1"/>
  <c r="J44" i="1" s="1"/>
  <c r="P44" i="1"/>
  <c r="L45" i="1"/>
  <c r="O44" i="1"/>
  <c r="G45" i="1" l="1"/>
  <c r="S45" i="1"/>
  <c r="M44" i="1"/>
  <c r="I44" i="1"/>
  <c r="R44" i="1" l="1"/>
  <c r="Q44" i="1"/>
  <c r="H45" i="1"/>
  <c r="J45" i="1" s="1"/>
  <c r="L46" i="1"/>
  <c r="P45" i="1"/>
  <c r="O45" i="1"/>
  <c r="G46" i="1" l="1"/>
  <c r="S46" i="1"/>
  <c r="M45" i="1"/>
  <c r="I45" i="1"/>
  <c r="R45" i="1" l="1"/>
  <c r="Q45" i="1"/>
  <c r="H46" i="1"/>
  <c r="J46" i="1" s="1"/>
  <c r="P46" i="1"/>
  <c r="O46" i="1"/>
  <c r="L47" i="1"/>
  <c r="G47" i="1" l="1"/>
  <c r="S47" i="1"/>
  <c r="M46" i="1"/>
  <c r="I46" i="1"/>
  <c r="Q46" i="1" l="1"/>
  <c r="R46" i="1"/>
  <c r="H47" i="1"/>
  <c r="J47" i="1" s="1"/>
  <c r="L48" i="1"/>
  <c r="P47" i="1"/>
  <c r="O47" i="1"/>
  <c r="G48" i="1" l="1"/>
  <c r="S48" i="1"/>
  <c r="M47" i="1"/>
  <c r="I47" i="1"/>
  <c r="Q47" i="1" l="1"/>
  <c r="R47" i="1"/>
  <c r="H48" i="1"/>
  <c r="J48" i="1" s="1"/>
  <c r="O48" i="1"/>
  <c r="L49" i="1"/>
  <c r="P48" i="1"/>
  <c r="G49" i="1" l="1"/>
  <c r="S49" i="1"/>
  <c r="M48" i="1"/>
  <c r="I48" i="1"/>
  <c r="Q48" i="1" l="1"/>
  <c r="R48" i="1"/>
  <c r="H49" i="1"/>
  <c r="J49" i="1" s="1"/>
  <c r="P49" i="1"/>
  <c r="O49" i="1"/>
  <c r="L50" i="1"/>
  <c r="G50" i="1" l="1"/>
  <c r="S50" i="1"/>
  <c r="M49" i="1"/>
  <c r="I49" i="1"/>
  <c r="Q49" i="1" l="1"/>
  <c r="R49" i="1"/>
  <c r="H50" i="1"/>
  <c r="J50" i="1" s="1"/>
  <c r="O50" i="1"/>
  <c r="L51" i="1"/>
  <c r="P50" i="1"/>
  <c r="G51" i="1" l="1"/>
  <c r="S51" i="1"/>
  <c r="M50" i="1"/>
  <c r="I50" i="1"/>
  <c r="R50" i="1" l="1"/>
  <c r="Q50" i="1"/>
  <c r="H51" i="1"/>
  <c r="J51" i="1" s="1"/>
  <c r="L52" i="1"/>
  <c r="P51" i="1"/>
  <c r="O51" i="1"/>
  <c r="G52" i="1" l="1"/>
  <c r="S52" i="1"/>
  <c r="M51" i="1"/>
  <c r="I51" i="1"/>
  <c r="R51" i="1" l="1"/>
  <c r="Q51" i="1"/>
  <c r="H52" i="1"/>
  <c r="J52" i="1" s="1"/>
  <c r="L53" i="1"/>
  <c r="P52" i="1"/>
  <c r="O52" i="1"/>
  <c r="G53" i="1" l="1"/>
  <c r="S53" i="1"/>
  <c r="M52" i="1"/>
  <c r="I52" i="1"/>
  <c r="R52" i="1" l="1"/>
  <c r="Q52" i="1"/>
  <c r="H53" i="1"/>
  <c r="J53" i="1" s="1"/>
  <c r="P53" i="1"/>
  <c r="O53" i="1"/>
  <c r="L54" i="1"/>
  <c r="G54" i="1" l="1"/>
  <c r="S54" i="1"/>
  <c r="M53" i="1"/>
  <c r="I53" i="1"/>
  <c r="R53" i="1" l="1"/>
  <c r="Q53" i="1"/>
  <c r="H54" i="1"/>
  <c r="J54" i="1" s="1"/>
  <c r="L55" i="1"/>
  <c r="G55" i="1" l="1"/>
  <c r="S55" i="1"/>
  <c r="M54" i="1"/>
  <c r="I54" i="1"/>
  <c r="R54" i="1" l="1"/>
  <c r="Q54" i="1"/>
  <c r="L56" i="1"/>
  <c r="S56" i="1" s="1"/>
  <c r="H55" i="1"/>
  <c r="J55" i="1" s="1"/>
  <c r="G56" i="1"/>
  <c r="L57" i="1" l="1"/>
  <c r="S57" i="1" s="1"/>
  <c r="H56" i="1"/>
  <c r="J56" i="1" s="1"/>
  <c r="M55" i="1"/>
  <c r="I55" i="1"/>
  <c r="G57" i="1" l="1"/>
  <c r="L58" i="1" s="1"/>
  <c r="S58" i="1" s="1"/>
  <c r="Q55" i="1"/>
  <c r="R55" i="1"/>
  <c r="M56" i="1"/>
  <c r="I56" i="1"/>
  <c r="H57" i="1" l="1"/>
  <c r="J57" i="1" s="1"/>
  <c r="R56" i="1"/>
  <c r="Q56" i="1"/>
  <c r="G58" i="1"/>
  <c r="M57" i="1" l="1"/>
  <c r="R57" i="1" s="1"/>
  <c r="I57" i="1"/>
  <c r="L59" i="1"/>
  <c r="S59" i="1" s="1"/>
  <c r="H58" i="1"/>
  <c r="J58" i="1" s="1"/>
  <c r="Q57" i="1" l="1"/>
  <c r="G59" i="1"/>
  <c r="L60" i="1" s="1"/>
  <c r="S60" i="1" s="1"/>
  <c r="M58" i="1"/>
  <c r="I58" i="1"/>
  <c r="H59" i="1" l="1"/>
  <c r="M59" i="1" s="1"/>
  <c r="G60" i="1"/>
  <c r="H60" i="1" s="1"/>
  <c r="R58" i="1"/>
  <c r="Q58" i="1"/>
  <c r="I60" i="1" l="1"/>
  <c r="J60" i="1"/>
  <c r="I59" i="1"/>
  <c r="J59" i="1"/>
  <c r="L61" i="1"/>
  <c r="S61" i="1" s="1"/>
  <c r="R59" i="1"/>
  <c r="Q59" i="1"/>
  <c r="G61" i="1"/>
  <c r="M60" i="1"/>
  <c r="R60" i="1" l="1"/>
  <c r="Q60" i="1"/>
  <c r="H61" i="1"/>
  <c r="J61" i="1" s="1"/>
  <c r="L62" i="1"/>
  <c r="N5" i="1"/>
  <c r="N4" i="1"/>
  <c r="D4" i="1"/>
  <c r="G62" i="1" l="1"/>
  <c r="S62" i="1"/>
  <c r="M61" i="1"/>
  <c r="I61" i="1"/>
  <c r="D5" i="1"/>
  <c r="O4" i="1"/>
  <c r="Q61" i="1" l="1"/>
  <c r="R61" i="1"/>
  <c r="H62" i="1"/>
  <c r="J62" i="1" s="1"/>
  <c r="L63" i="1"/>
  <c r="G63" i="1" l="1"/>
  <c r="S63" i="1"/>
  <c r="M62" i="1"/>
  <c r="I62" i="1"/>
  <c r="Q62" i="1" l="1"/>
  <c r="R62" i="1"/>
  <c r="L64" i="1"/>
  <c r="H63" i="1"/>
  <c r="J63" i="1" s="1"/>
  <c r="M63" i="1" l="1"/>
  <c r="I63" i="1"/>
  <c r="G64" i="1"/>
  <c r="S64" i="1"/>
  <c r="Q63" i="1" l="1"/>
  <c r="R63" i="1"/>
  <c r="H64" i="1"/>
  <c r="J64" i="1" s="1"/>
  <c r="L65" i="1"/>
  <c r="G65" i="1" l="1"/>
  <c r="S65" i="1"/>
  <c r="M64" i="1"/>
  <c r="I64" i="1"/>
  <c r="Q64" i="1" l="1"/>
  <c r="R64" i="1"/>
  <c r="L66" i="1"/>
  <c r="H65" i="1"/>
  <c r="J65" i="1" s="1"/>
  <c r="G66" i="1" l="1"/>
  <c r="S66" i="1"/>
  <c r="M65" i="1"/>
  <c r="I65" i="1"/>
  <c r="Q65" i="1" l="1"/>
  <c r="R65" i="1"/>
  <c r="L67" i="1"/>
  <c r="H66" i="1"/>
  <c r="J66" i="1" s="1"/>
  <c r="M66" i="1" l="1"/>
  <c r="I66" i="1"/>
  <c r="G67" i="1"/>
  <c r="S67" i="1"/>
  <c r="R66" i="1" l="1"/>
  <c r="Q66" i="1"/>
  <c r="H67" i="1"/>
  <c r="J67" i="1" s="1"/>
  <c r="L68" i="1"/>
  <c r="G68" i="1" l="1"/>
  <c r="S68" i="1"/>
  <c r="M67" i="1"/>
  <c r="I67" i="1"/>
  <c r="R67" i="1" l="1"/>
  <c r="Q67" i="1"/>
  <c r="H68" i="1"/>
  <c r="J68" i="1" s="1"/>
  <c r="L69" i="1"/>
  <c r="G69" i="1" l="1"/>
  <c r="S69" i="1"/>
  <c r="M68" i="1"/>
  <c r="I68" i="1"/>
  <c r="R68" i="1" l="1"/>
  <c r="Q68" i="1"/>
  <c r="H69" i="1"/>
  <c r="J69" i="1" s="1"/>
  <c r="L70" i="1"/>
  <c r="G70" i="1" l="1"/>
  <c r="S70" i="1"/>
  <c r="M69" i="1"/>
  <c r="I69" i="1"/>
  <c r="R69" i="1" l="1"/>
  <c r="Q69" i="1"/>
  <c r="L71" i="1"/>
  <c r="G71" i="1" s="1"/>
  <c r="H70" i="1"/>
  <c r="J70" i="1" s="1"/>
  <c r="H71" i="1" l="1"/>
  <c r="J71" i="1" s="1"/>
  <c r="L72" i="1"/>
  <c r="G72" i="1" s="1"/>
  <c r="M70" i="1"/>
  <c r="I70" i="1"/>
  <c r="I71" i="1" l="1"/>
  <c r="Q70" i="1"/>
  <c r="R70" i="1"/>
  <c r="H72" i="1"/>
  <c r="L73" i="1"/>
  <c r="G73" i="1" s="1"/>
  <c r="M71" i="1"/>
  <c r="I72" i="1" l="1"/>
  <c r="J72" i="1"/>
  <c r="Q71" i="1"/>
  <c r="R71" i="1"/>
  <c r="H73" i="1"/>
  <c r="J73" i="1" s="1"/>
  <c r="L74" i="1"/>
  <c r="G74" i="1" s="1"/>
  <c r="M72" i="1"/>
  <c r="I73" i="1"/>
  <c r="Q72" i="1" l="1"/>
  <c r="R72" i="1"/>
  <c r="H74" i="1"/>
  <c r="J74" i="1" s="1"/>
  <c r="L75" i="1"/>
  <c r="G75" i="1" s="1"/>
  <c r="M73" i="1"/>
  <c r="I74" i="1" l="1"/>
  <c r="Q73" i="1"/>
  <c r="R73" i="1"/>
  <c r="H75" i="1"/>
  <c r="J75" i="1" s="1"/>
  <c r="L76" i="1"/>
  <c r="G76" i="1" s="1"/>
  <c r="I75" i="1"/>
  <c r="M74" i="1"/>
  <c r="R74" i="1" l="1"/>
  <c r="Q74" i="1"/>
  <c r="L77" i="1"/>
  <c r="G77" i="1" s="1"/>
  <c r="H76" i="1"/>
  <c r="M75" i="1"/>
  <c r="I76" i="1" l="1"/>
  <c r="J76" i="1"/>
  <c r="R75" i="1"/>
  <c r="Q75" i="1"/>
  <c r="M76" i="1"/>
  <c r="H77" i="1"/>
  <c r="J77" i="1" s="1"/>
  <c r="L78" i="1"/>
  <c r="G78" i="1" s="1"/>
  <c r="R76" i="1" l="1"/>
  <c r="Q76" i="1"/>
  <c r="L79" i="1"/>
  <c r="G79" i="1" s="1"/>
  <c r="H78" i="1"/>
  <c r="M77" i="1"/>
  <c r="I77" i="1"/>
  <c r="I78" i="1" l="1"/>
  <c r="J78" i="1"/>
  <c r="R77" i="1"/>
  <c r="Q77" i="1"/>
  <c r="M78" i="1"/>
  <c r="H79" i="1"/>
  <c r="J79" i="1" s="1"/>
  <c r="L80" i="1"/>
  <c r="G80" i="1" s="1"/>
  <c r="R78" i="1" l="1"/>
  <c r="Q78" i="1"/>
  <c r="L81" i="1"/>
  <c r="G81" i="1" s="1"/>
  <c r="H80" i="1"/>
  <c r="M79" i="1"/>
  <c r="I79" i="1"/>
  <c r="I80" i="1" l="1"/>
  <c r="J80" i="1"/>
  <c r="Q79" i="1"/>
  <c r="R79" i="1"/>
  <c r="M80" i="1"/>
  <c r="Q80" i="1" s="1"/>
  <c r="R80" i="1" s="1"/>
  <c r="H81" i="1"/>
  <c r="J81" i="1" s="1"/>
  <c r="L82" i="1"/>
  <c r="G82" i="1" s="1"/>
  <c r="L83" i="1" l="1"/>
  <c r="G83" i="1" s="1"/>
  <c r="H82" i="1"/>
  <c r="J82" i="1" s="1"/>
  <c r="M81" i="1"/>
  <c r="Q81" i="1" s="1"/>
  <c r="R81" i="1" s="1"/>
  <c r="I82" i="1"/>
  <c r="I81" i="1"/>
  <c r="M82" i="1" l="1"/>
  <c r="Q82" i="1" s="1"/>
  <c r="R82" i="1" s="1"/>
  <c r="L84" i="1"/>
  <c r="G84" i="1" s="1"/>
  <c r="H83" i="1"/>
  <c r="J83" i="1" s="1"/>
  <c r="M83" i="1" l="1"/>
  <c r="Q83" i="1" s="1"/>
  <c r="R83" i="1" s="1"/>
  <c r="I83" i="1"/>
  <c r="H84" i="1"/>
  <c r="J84" i="1" s="1"/>
  <c r="L85" i="1"/>
  <c r="G85" i="1" s="1"/>
  <c r="H85" i="1" l="1"/>
  <c r="L86" i="1"/>
  <c r="G86" i="1" s="1"/>
  <c r="M84" i="1"/>
  <c r="Q84" i="1" s="1"/>
  <c r="R84" i="1" s="1"/>
  <c r="I84" i="1"/>
  <c r="I85" i="1" l="1"/>
  <c r="J85" i="1"/>
  <c r="L87" i="1"/>
  <c r="G87" i="1" s="1"/>
  <c r="H86" i="1"/>
  <c r="J86" i="1" s="1"/>
  <c r="M85" i="1"/>
  <c r="Q85" i="1" s="1"/>
  <c r="R85" i="1" s="1"/>
  <c r="M86" i="1" l="1"/>
  <c r="Q86" i="1" s="1"/>
  <c r="R86" i="1" s="1"/>
  <c r="I86" i="1"/>
  <c r="L88" i="1"/>
  <c r="G88" i="1" s="1"/>
  <c r="H87" i="1"/>
  <c r="J87" i="1" s="1"/>
  <c r="L89" i="1" l="1"/>
  <c r="G89" i="1" s="1"/>
  <c r="H88" i="1"/>
  <c r="M87" i="1"/>
  <c r="Q87" i="1" s="1"/>
  <c r="R87" i="1" s="1"/>
  <c r="I87" i="1"/>
  <c r="I88" i="1" l="1"/>
  <c r="J88" i="1"/>
  <c r="M88" i="1"/>
  <c r="Q88" i="1" s="1"/>
  <c r="R88" i="1" s="1"/>
  <c r="H89" i="1"/>
  <c r="J89" i="1" s="1"/>
  <c r="L90" i="1"/>
  <c r="G90" i="1" s="1"/>
  <c r="H90" i="1" l="1"/>
  <c r="L91" i="1"/>
  <c r="G91" i="1" s="1"/>
  <c r="M89" i="1"/>
  <c r="Q89" i="1" s="1"/>
  <c r="I89" i="1"/>
  <c r="I90" i="1" l="1"/>
  <c r="J90" i="1"/>
  <c r="L92" i="1"/>
  <c r="G92" i="1" s="1"/>
  <c r="H91" i="1"/>
  <c r="J91" i="1" s="1"/>
  <c r="M90" i="1"/>
  <c r="Q90" i="1" s="1"/>
  <c r="M91" i="1" l="1"/>
  <c r="I91" i="1"/>
  <c r="H92" i="1"/>
  <c r="J92" i="1" s="1"/>
  <c r="L93" i="1"/>
  <c r="G93" i="1" s="1"/>
  <c r="L94" i="1" l="1"/>
  <c r="G94" i="1" s="1"/>
  <c r="H93" i="1"/>
  <c r="J93" i="1" s="1"/>
  <c r="M92" i="1"/>
  <c r="I92" i="1"/>
  <c r="M93" i="1" l="1"/>
  <c r="I93" i="1"/>
  <c r="H94" i="1"/>
  <c r="J94" i="1" s="1"/>
  <c r="L95" i="1"/>
  <c r="G95" i="1" s="1"/>
  <c r="H95" i="1" l="1"/>
  <c r="L96" i="1"/>
  <c r="G96" i="1" s="1"/>
  <c r="M94" i="1"/>
  <c r="I94" i="1"/>
  <c r="I95" i="1" l="1"/>
  <c r="J95" i="1"/>
  <c r="L97" i="1"/>
  <c r="G97" i="1" s="1"/>
  <c r="H96" i="1"/>
  <c r="M95" i="1"/>
  <c r="I96" i="1" l="1"/>
  <c r="J96" i="1"/>
  <c r="M96" i="1"/>
  <c r="L98" i="1"/>
  <c r="G98" i="1" s="1"/>
  <c r="H97" i="1"/>
  <c r="J97" i="1" s="1"/>
  <c r="M97" i="1" l="1"/>
  <c r="L99" i="1"/>
  <c r="G99" i="1" s="1"/>
  <c r="H98" i="1"/>
  <c r="J98" i="1" s="1"/>
  <c r="I97" i="1"/>
  <c r="M98" i="1" l="1"/>
  <c r="L100" i="1"/>
  <c r="G100" i="1" s="1"/>
  <c r="H99" i="1"/>
  <c r="J99" i="1" s="1"/>
  <c r="I98" i="1"/>
  <c r="M99" i="1" l="1"/>
  <c r="H100" i="1"/>
  <c r="J100" i="1" s="1"/>
  <c r="L101" i="1"/>
  <c r="G101" i="1" s="1"/>
  <c r="I99" i="1"/>
  <c r="H101" i="1" l="1"/>
  <c r="L102" i="1"/>
  <c r="G102" i="1" s="1"/>
  <c r="M100" i="1"/>
  <c r="I100" i="1"/>
  <c r="I101" i="1" l="1"/>
  <c r="J101" i="1"/>
  <c r="H102" i="1"/>
  <c r="J102" i="1" s="1"/>
  <c r="L103" i="1"/>
  <c r="G103" i="1" s="1"/>
  <c r="M101" i="1"/>
  <c r="I102" i="1"/>
  <c r="H103" i="1" l="1"/>
  <c r="J103" i="1" s="1"/>
  <c r="L104" i="1"/>
  <c r="G104" i="1" s="1"/>
  <c r="M102" i="1"/>
  <c r="I103" i="1" l="1"/>
  <c r="H104" i="1"/>
  <c r="L105" i="1"/>
  <c r="G105" i="1" s="1"/>
  <c r="M103" i="1"/>
  <c r="I104" i="1" l="1"/>
  <c r="J104" i="1"/>
  <c r="H105" i="1"/>
  <c r="J105" i="1" s="1"/>
  <c r="L106" i="1"/>
  <c r="G106" i="1" s="1"/>
  <c r="M104" i="1"/>
  <c r="I105" i="1"/>
  <c r="L107" i="1" l="1"/>
  <c r="G107" i="1" s="1"/>
  <c r="H106" i="1"/>
  <c r="M105" i="1"/>
  <c r="I106" i="1" l="1"/>
  <c r="J106" i="1"/>
  <c r="M106" i="1"/>
  <c r="L108" i="1"/>
  <c r="G108" i="1" s="1"/>
  <c r="H107" i="1"/>
  <c r="J107" i="1" s="1"/>
  <c r="H108" i="1" l="1"/>
  <c r="J108" i="1" s="1"/>
  <c r="L109" i="1"/>
  <c r="G109" i="1" s="1"/>
  <c r="I108" i="1"/>
  <c r="M107" i="1"/>
  <c r="I107" i="1"/>
  <c r="H109" i="1" l="1"/>
  <c r="L110" i="1"/>
  <c r="G110" i="1" s="1"/>
  <c r="M108" i="1"/>
  <c r="I109" i="1" l="1"/>
  <c r="J109" i="1"/>
  <c r="L111" i="1"/>
  <c r="G111" i="1" s="1"/>
  <c r="H110" i="1"/>
  <c r="M109" i="1"/>
  <c r="I110" i="1" l="1"/>
  <c r="J110" i="1"/>
  <c r="M110" i="1"/>
  <c r="H111" i="1"/>
  <c r="L112" i="1"/>
  <c r="G112" i="1" s="1"/>
  <c r="L113" i="1" s="1"/>
  <c r="G113" i="1" s="1"/>
  <c r="L114" i="1" s="1"/>
  <c r="G114" i="1" s="1"/>
  <c r="L115" i="1" s="1"/>
  <c r="G115" i="1" s="1"/>
  <c r="L116" i="1" s="1"/>
  <c r="G116" i="1" s="1"/>
  <c r="L117" i="1" s="1"/>
  <c r="G117" i="1" s="1"/>
  <c r="L118" i="1" s="1"/>
  <c r="G118" i="1" s="1"/>
  <c r="L119" i="1" s="1"/>
  <c r="G119" i="1" s="1"/>
  <c r="L120" i="1" s="1"/>
  <c r="G120" i="1" s="1"/>
  <c r="L121" i="1" s="1"/>
  <c r="G121" i="1" s="1"/>
  <c r="L122" i="1" s="1"/>
  <c r="G122" i="1" s="1"/>
  <c r="L123" i="1" s="1"/>
  <c r="G123" i="1" s="1"/>
  <c r="L124" i="1" s="1"/>
  <c r="G124" i="1" s="1"/>
  <c r="L125" i="1" s="1"/>
  <c r="G125" i="1" s="1"/>
  <c r="L126" i="1" s="1"/>
  <c r="G126" i="1" s="1"/>
  <c r="L127" i="1" s="1"/>
  <c r="G127" i="1" s="1"/>
  <c r="L128" i="1" s="1"/>
  <c r="G128" i="1" s="1"/>
  <c r="L129" i="1" s="1"/>
  <c r="G129" i="1" s="1"/>
  <c r="L130" i="1" s="1"/>
  <c r="G130" i="1" s="1"/>
  <c r="L131" i="1" s="1"/>
  <c r="G131" i="1" s="1"/>
  <c r="L132" i="1" s="1"/>
  <c r="G132" i="1" s="1"/>
  <c r="L133" i="1" s="1"/>
  <c r="G133" i="1" s="1"/>
  <c r="L134" i="1" s="1"/>
  <c r="G134" i="1" s="1"/>
  <c r="L135" i="1" s="1"/>
  <c r="G135" i="1" s="1"/>
  <c r="L136" i="1" s="1"/>
  <c r="G136" i="1" s="1"/>
  <c r="L137" i="1" s="1"/>
  <c r="G137" i="1" s="1"/>
  <c r="L138" i="1" s="1"/>
  <c r="G138" i="1" s="1"/>
  <c r="L139" i="1" s="1"/>
  <c r="G139" i="1" s="1"/>
  <c r="L140" i="1" s="1"/>
  <c r="G140" i="1" s="1"/>
  <c r="L141" i="1" s="1"/>
  <c r="G141" i="1" s="1"/>
  <c r="L142" i="1" s="1"/>
  <c r="G142" i="1" s="1"/>
  <c r="L143" i="1" s="1"/>
  <c r="G143" i="1" s="1"/>
  <c r="L144" i="1" s="1"/>
  <c r="G144" i="1" s="1"/>
  <c r="L145" i="1" s="1"/>
  <c r="G145" i="1" s="1"/>
  <c r="L146" i="1" s="1"/>
  <c r="G146" i="1" s="1"/>
  <c r="L147" i="1" s="1"/>
  <c r="G147" i="1" s="1"/>
  <c r="L148" i="1" s="1"/>
  <c r="G148" i="1" s="1"/>
  <c r="L149" i="1" s="1"/>
  <c r="G149" i="1" s="1"/>
  <c r="L150" i="1" s="1"/>
  <c r="G150" i="1" s="1"/>
  <c r="L151" i="1" s="1"/>
  <c r="G151" i="1" s="1"/>
  <c r="L152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M111" i="1" l="1"/>
  <c r="J111" i="1"/>
  <c r="I111" i="1"/>
</calcChain>
</file>

<file path=xl/sharedStrings.xml><?xml version="1.0" encoding="utf-8"?>
<sst xmlns="http://schemas.openxmlformats.org/spreadsheetml/2006/main" count="190" uniqueCount="151">
  <si>
    <t>pps</t>
  </si>
  <si>
    <t>start pps</t>
  </si>
  <si>
    <t>max speed</t>
  </si>
  <si>
    <t>prescaler</t>
  </si>
  <si>
    <t>The given parameters are:</t>
  </si>
  <si>
    <t>a - acceleration,</t>
  </si>
  <si>
    <t>F - timer frequency</t>
  </si>
  <si>
    <t>and the calculated parameters are:</t>
  </si>
  <si>
    <t>S - acceleration/deceleration distance</t>
  </si>
  <si>
    <t>pS - delay period for the slew speed steps</t>
  </si>
  <si>
    <t>R - constant multiplier</t>
  </si>
  <si>
    <t>The variable delay period p (initially p = p1) that will be recalculated for</t>
  </si>
  <si>
    <t>each next step is:</t>
  </si>
  <si>
    <t>where</t>
  </si>
  <si>
    <t>m - variable multiplier that depends on the movement phase:</t>
  </si>
  <si>
    <t>m = -R during acceleration phase,</t>
  </si>
  <si>
    <t>m = 0 between acceleration and deceleration phases,</t>
  </si>
  <si>
    <t>m = R during deceleration phase.</t>
  </si>
  <si>
    <t>For accuracy purpose let's set</t>
  </si>
  <si>
    <t>p = pS if p &lt; pS or between acceleration and deceleration phases,</t>
  </si>
  <si>
    <t>p = p1 if p &gt; p1 .</t>
  </si>
  <si>
    <t>S = (v *v - v0 *v0) / (2 * a)</t>
  </si>
  <si>
    <t>p1 = F / sqrt((v0 * v0 + 2 *a))</t>
  </si>
  <si>
    <t>R = a / (F*F)</t>
  </si>
  <si>
    <t>p = p*(1 + m * p * p)</t>
  </si>
  <si>
    <t>q = m*p*p</t>
  </si>
  <si>
    <t>p = p *(1 + q + 1.5 *q*q)</t>
  </si>
  <si>
    <t>pS = F / v</t>
  </si>
  <si>
    <t>Hz</t>
  </si>
  <si>
    <t>PPSPS</t>
  </si>
  <si>
    <t>period(ARR)</t>
  </si>
  <si>
    <t>ARR table</t>
  </si>
  <si>
    <t>processor speed</t>
  </si>
  <si>
    <t>better formula:</t>
  </si>
  <si>
    <t>target PPS</t>
  </si>
  <si>
    <t>p(ARR) good</t>
  </si>
  <si>
    <t>p(ARR) better</t>
  </si>
  <si>
    <t>ARR_8_24 format</t>
  </si>
  <si>
    <t>rev/m</t>
  </si>
  <si>
    <t>rev/sec</t>
  </si>
  <si>
    <t>tread pitch to cut</t>
  </si>
  <si>
    <t>ARR</t>
  </si>
  <si>
    <t>steps/per mm setup</t>
  </si>
  <si>
    <t>steps/sec</t>
  </si>
  <si>
    <t>encoder*2</t>
  </si>
  <si>
    <t>HZ spindle encoder</t>
  </si>
  <si>
    <t>mm per spindle step</t>
  </si>
  <si>
    <t>steps to accelerate to 4000</t>
  </si>
  <si>
    <t>mm accel path len</t>
  </si>
  <si>
    <t>spindle steps accel path</t>
  </si>
  <si>
    <t>sec, accel time</t>
  </si>
  <si>
    <t>spindle steps when accel</t>
  </si>
  <si>
    <t>mm accel path len by spindle</t>
  </si>
  <si>
    <t>z1z</t>
  </si>
  <si>
    <t>x1z</t>
  </si>
  <si>
    <t>z0z</t>
  </si>
  <si>
    <t>x0z</t>
  </si>
  <si>
    <t>octant</t>
  </si>
  <si>
    <t>R</t>
  </si>
  <si>
    <t>zcdelta</t>
  </si>
  <si>
    <t>xcdelta</t>
  </si>
  <si>
    <t>zc</t>
  </si>
  <si>
    <t>xc</t>
  </si>
  <si>
    <t>k</t>
  </si>
  <si>
    <t>i</t>
  </si>
  <si>
    <t>z1</t>
  </si>
  <si>
    <t>x1</t>
  </si>
  <si>
    <t>z0</t>
  </si>
  <si>
    <t>x0</t>
  </si>
  <si>
    <t>steps</t>
  </si>
  <si>
    <t>mm</t>
  </si>
  <si>
    <t xml:space="preserve">G3 X12. Z-4.5 I-1.99 K-2.245 </t>
  </si>
  <si>
    <t xml:space="preserve">G1 X10., </t>
  </si>
  <si>
    <t>G1 X0. Z-2.5 F1.,</t>
  </si>
  <si>
    <t>a</t>
  </si>
  <si>
    <t>e2</t>
  </si>
  <si>
    <t>err</t>
  </si>
  <si>
    <t>x</t>
  </si>
  <si>
    <t>z</t>
  </si>
  <si>
    <t>b</t>
  </si>
  <si>
    <t>Q2</t>
  </si>
  <si>
    <t>exy=e+(2x+1)b²+(2y+1)a²</t>
  </si>
  <si>
    <t>dx</t>
  </si>
  <si>
    <t>dy</t>
  </si>
  <si>
    <t>y</t>
  </si>
  <si>
    <t>e</t>
  </si>
  <si>
    <t>exy</t>
  </si>
  <si>
    <t>ey=(x+1)²b²+y²a²–a²b²</t>
  </si>
  <si>
    <t>ex=x²b²+(y+1)²a²–a²b²</t>
  </si>
  <si>
    <t>ex+exy&gt;0?x++</t>
  </si>
  <si>
    <t>ey+exy&lt;0?y++</t>
  </si>
  <si>
    <t>y++</t>
  </si>
  <si>
    <t>err+=ex</t>
  </si>
  <si>
    <t>Q1:</t>
  </si>
  <si>
    <t>exy=e+(2x+1)b²-(2y-1)a²</t>
  </si>
  <si>
    <t>e = exy-(2x+1)b²+(2y-1)a²</t>
  </si>
  <si>
    <t>ex=x²b²+(y-1)²a²–a²b²=x²b²+y²a²-(2y-1)a²–a²b²=e-(2y-1)a²=exy-(2x+1)b²</t>
  </si>
  <si>
    <t>Q1</t>
  </si>
  <si>
    <t>ey=(x+1)²b²+y²a²–a²b²=x²b²+(2x+1)b²+y²a²–a²b²=e+(2x+1)b²=exy+(2y-1)a²</t>
  </si>
  <si>
    <t>ex=x²b²+(y-1)²a²–a²b²</t>
  </si>
  <si>
    <r>
      <t>ex+exy</t>
    </r>
    <r>
      <rPr>
        <b/>
        <sz val="11"/>
        <color rgb="FFFF0000"/>
        <rFont val="Calibri"/>
        <family val="2"/>
        <charset val="204"/>
        <scheme val="minor"/>
      </rPr>
      <t>&lt;</t>
    </r>
    <r>
      <rPr>
        <sz val="11"/>
        <color theme="1"/>
        <rFont val="Calibri"/>
        <family val="2"/>
        <charset val="204"/>
        <scheme val="minor"/>
      </rPr>
      <t>0?x++</t>
    </r>
  </si>
  <si>
    <r>
      <t>ey+exy</t>
    </r>
    <r>
      <rPr>
        <b/>
        <sz val="11"/>
        <color rgb="FFFF0000"/>
        <rFont val="Calibri"/>
        <family val="2"/>
        <charset val="204"/>
        <scheme val="minor"/>
      </rPr>
      <t>&gt;</t>
    </r>
    <r>
      <rPr>
        <sz val="11"/>
        <color theme="1"/>
        <rFont val="Calibri"/>
        <family val="2"/>
        <charset val="204"/>
        <scheme val="minor"/>
      </rPr>
      <t>0?y--</t>
    </r>
  </si>
  <si>
    <t>ey</t>
  </si>
  <si>
    <t>ex</t>
  </si>
  <si>
    <t>2exy-(2x+1)b²&lt;0</t>
  </si>
  <si>
    <t>2exy+(2y-1)a²&gt;0?</t>
  </si>
  <si>
    <r>
      <t>(</t>
    </r>
    <r>
      <rPr>
        <i/>
        <sz val="10"/>
        <color theme="1"/>
        <rFont val="Times"/>
        <family val="1"/>
      </rPr>
      <t>a</t>
    </r>
    <r>
      <rPr>
        <sz val="10"/>
        <color theme="1"/>
        <rFont val="Times"/>
        <family val="1"/>
      </rPr>
      <t> + </t>
    </r>
    <r>
      <rPr>
        <i/>
        <sz val="10"/>
        <color theme="1"/>
        <rFont val="Times"/>
        <family val="1"/>
      </rPr>
      <t>b</t>
    </r>
    <r>
      <rPr>
        <sz val="10"/>
        <color theme="1"/>
        <rFont val="Times"/>
        <family val="1"/>
      </rPr>
      <t>)</t>
    </r>
    <r>
      <rPr>
        <vertAlign val="superscript"/>
        <sz val="10"/>
        <color theme="1"/>
        <rFont val="Times"/>
        <family val="1"/>
      </rPr>
      <t>2</t>
    </r>
    <r>
      <rPr>
        <sz val="10"/>
        <color theme="1"/>
        <rFont val="Times"/>
        <family val="1"/>
      </rPr>
      <t> = </t>
    </r>
    <r>
      <rPr>
        <i/>
        <sz val="10"/>
        <color theme="1"/>
        <rFont val="Times"/>
        <family val="1"/>
      </rPr>
      <t>a</t>
    </r>
    <r>
      <rPr>
        <vertAlign val="superscript"/>
        <sz val="10"/>
        <color theme="1"/>
        <rFont val="Times"/>
        <family val="1"/>
      </rPr>
      <t>2</t>
    </r>
    <r>
      <rPr>
        <sz val="10"/>
        <color theme="1"/>
        <rFont val="Times"/>
        <family val="1"/>
      </rPr>
      <t> + 2</t>
    </r>
    <r>
      <rPr>
        <i/>
        <sz val="10"/>
        <color theme="1"/>
        <rFont val="Times"/>
        <family val="1"/>
      </rPr>
      <t>ab</t>
    </r>
    <r>
      <rPr>
        <sz val="10"/>
        <color theme="1"/>
        <rFont val="Times"/>
        <family val="1"/>
      </rPr>
      <t> + </t>
    </r>
    <r>
      <rPr>
        <i/>
        <sz val="10"/>
        <color theme="1"/>
        <rFont val="Times"/>
        <family val="1"/>
      </rPr>
      <t>b</t>
    </r>
    <r>
      <rPr>
        <vertAlign val="superscript"/>
        <sz val="10"/>
        <color theme="1"/>
        <rFont val="Times"/>
        <family val="1"/>
      </rPr>
      <t>2</t>
    </r>
    <r>
      <rPr>
        <sz val="10"/>
        <color theme="1"/>
        <rFont val="Times"/>
        <family val="1"/>
      </rPr>
      <t>,</t>
    </r>
  </si>
  <si>
    <r>
      <t>(</t>
    </r>
    <r>
      <rPr>
        <i/>
        <sz val="10"/>
        <color theme="1"/>
        <rFont val="Times"/>
        <family val="1"/>
      </rPr>
      <t>a</t>
    </r>
    <r>
      <rPr>
        <sz val="10"/>
        <color theme="1"/>
        <rFont val="Times"/>
        <family val="1"/>
      </rPr>
      <t> – </t>
    </r>
    <r>
      <rPr>
        <i/>
        <sz val="10"/>
        <color theme="1"/>
        <rFont val="Times"/>
        <family val="1"/>
      </rPr>
      <t>b</t>
    </r>
    <r>
      <rPr>
        <sz val="10"/>
        <color theme="1"/>
        <rFont val="Times"/>
        <family val="1"/>
      </rPr>
      <t>)</t>
    </r>
    <r>
      <rPr>
        <vertAlign val="superscript"/>
        <sz val="10"/>
        <color theme="1"/>
        <rFont val="Times"/>
        <family val="1"/>
      </rPr>
      <t>2</t>
    </r>
    <r>
      <rPr>
        <sz val="10"/>
        <color theme="1"/>
        <rFont val="Times"/>
        <family val="1"/>
      </rPr>
      <t> = </t>
    </r>
    <r>
      <rPr>
        <i/>
        <sz val="10"/>
        <color theme="1"/>
        <rFont val="Times"/>
        <family val="1"/>
      </rPr>
      <t>a</t>
    </r>
    <r>
      <rPr>
        <vertAlign val="superscript"/>
        <sz val="10"/>
        <color theme="1"/>
        <rFont val="Times"/>
        <family val="1"/>
      </rPr>
      <t>2</t>
    </r>
    <r>
      <rPr>
        <sz val="10"/>
        <color theme="1"/>
        <rFont val="Times"/>
        <family val="1"/>
      </rPr>
      <t> – 2</t>
    </r>
    <r>
      <rPr>
        <i/>
        <sz val="10"/>
        <color theme="1"/>
        <rFont val="Times"/>
        <family val="1"/>
      </rPr>
      <t>ab</t>
    </r>
    <r>
      <rPr>
        <sz val="10"/>
        <color theme="1"/>
        <rFont val="Times"/>
        <family val="1"/>
      </rPr>
      <t> + </t>
    </r>
    <r>
      <rPr>
        <i/>
        <sz val="10"/>
        <color theme="1"/>
        <rFont val="Times"/>
        <family val="1"/>
      </rPr>
      <t>b</t>
    </r>
    <r>
      <rPr>
        <vertAlign val="superscript"/>
        <sz val="10"/>
        <color theme="1"/>
        <rFont val="Times"/>
        <family val="1"/>
      </rPr>
      <t>2</t>
    </r>
    <r>
      <rPr>
        <sz val="10"/>
        <color theme="1"/>
        <rFont val="Times"/>
        <family val="1"/>
      </rPr>
      <t>,</t>
    </r>
  </si>
  <si>
    <t>x2b2+y2a2-a2b2</t>
  </si>
  <si>
    <t>exy = (x+1)2b2+(y-1)2a2–a2b2</t>
  </si>
  <si>
    <t>e+(2x+1)b2+(2y+1)a2</t>
  </si>
  <si>
    <t>Q4</t>
  </si>
  <si>
    <t>e=x²b²+y²a²-a²b²</t>
  </si>
  <si>
    <t>e+(2*x+1)b2-(2*y-1)a2</t>
  </si>
  <si>
    <t>ey=(x-1)²b²+y²a²–a²b²</t>
  </si>
  <si>
    <r>
      <t>ex+exy</t>
    </r>
    <r>
      <rPr>
        <b/>
        <sz val="11"/>
        <color rgb="FFFF0000"/>
        <rFont val="Calibri"/>
        <family val="2"/>
        <charset val="204"/>
        <scheme val="minor"/>
      </rPr>
      <t>&gt;</t>
    </r>
    <r>
      <rPr>
        <sz val="11"/>
        <color theme="1"/>
        <rFont val="Calibri"/>
        <family val="2"/>
        <charset val="204"/>
        <scheme val="minor"/>
      </rPr>
      <t>0?</t>
    </r>
    <r>
      <rPr>
        <b/>
        <sz val="11"/>
        <color rgb="FFFF0000"/>
        <rFont val="Calibri"/>
        <family val="2"/>
        <charset val="204"/>
        <scheme val="minor"/>
      </rPr>
      <t>x--</t>
    </r>
  </si>
  <si>
    <t>ey+exy&lt;0?y--</t>
  </si>
  <si>
    <t>Q4:</t>
  </si>
  <si>
    <t>exy=(x-1)²b²+(y-1)²a²-a²b²=x²b²-2xb²+b²+y²a²-2ya²+a²-a²b²=e-(2x-1)b²-(2y-1)a²</t>
  </si>
  <si>
    <t>exy=e-(2x-1)b²-(2y-1)a²</t>
  </si>
  <si>
    <t>e=exy+(2x-1)b²+(2y-1)a²</t>
  </si>
  <si>
    <t>x+1y+1</t>
  </si>
  <si>
    <t>ex=x²b²+(y-1)²a²–a²b²=x²b²+y²a²-(2y-1)a²–a²b²=e-(2y-1)a²=exy+(2x-1)b²</t>
  </si>
  <si>
    <t>y2a2-2ya2+a2</t>
  </si>
  <si>
    <t>ey=(x-1)²b²+y²a²–a²b²=x²b²-(2x-1)b²+y²a²–a²b²=e-(2x-1)b²=exy+(2y-1)a²</t>
  </si>
  <si>
    <t>ex = x²b²+y²a²-2ya²+a²–a²b²</t>
  </si>
  <si>
    <t>ex=exy –(2x+1)b²</t>
  </si>
  <si>
    <t>ey = x²b²+y²a²–a²b²+2xb²+b²=e+(2x+1)b²=exy+(2y-1)a²</t>
  </si>
  <si>
    <t>ey=exy–(2y+1)a²</t>
  </si>
  <si>
    <t>x²b²+(2x+1)b²+y²a²–a²b²</t>
  </si>
  <si>
    <t>ex = x²b²+y²a²–a²b²-(2y-1)a²=exy-(2x+1)b²</t>
  </si>
  <si>
    <t>(y-1)²a²=y²a²-2ya²+a²</t>
  </si>
  <si>
    <t>exy-(2x+1)b²+(2y-1)a²=e</t>
  </si>
  <si>
    <t>y²a²-2ya²+a²</t>
  </si>
  <si>
    <t>Q3</t>
  </si>
  <si>
    <t>(x+1)²b²=x²b²+2xb²+b²</t>
  </si>
  <si>
    <r>
      <t>ex+exy</t>
    </r>
    <r>
      <rPr>
        <b/>
        <sz val="11"/>
        <color rgb="FFFF0000"/>
        <rFont val="Calibri"/>
        <family val="2"/>
        <charset val="204"/>
        <scheme val="minor"/>
      </rPr>
      <t>&lt;</t>
    </r>
    <r>
      <rPr>
        <sz val="11"/>
        <color theme="1"/>
        <rFont val="Calibri"/>
        <family val="2"/>
        <charset val="204"/>
        <scheme val="minor"/>
      </rPr>
      <t>0?</t>
    </r>
    <r>
      <rPr>
        <b/>
        <sz val="11"/>
        <color rgb="FFFF0000"/>
        <rFont val="Calibri"/>
        <family val="2"/>
        <charset val="204"/>
        <scheme val="minor"/>
      </rPr>
      <t>x--</t>
    </r>
  </si>
  <si>
    <r>
      <t>ey+exy</t>
    </r>
    <r>
      <rPr>
        <b/>
        <sz val="11"/>
        <color rgb="FFFF0000"/>
        <rFont val="Calibri"/>
        <family val="2"/>
        <charset val="204"/>
        <scheme val="minor"/>
      </rPr>
      <t>&gt;</t>
    </r>
    <r>
      <rPr>
        <sz val="11"/>
        <color theme="1"/>
        <rFont val="Calibri"/>
        <family val="2"/>
        <charset val="204"/>
        <scheme val="minor"/>
      </rPr>
      <t>0?</t>
    </r>
    <r>
      <rPr>
        <b/>
        <sz val="11"/>
        <color rgb="FFFF0000"/>
        <rFont val="Calibri"/>
        <family val="2"/>
        <charset val="204"/>
        <scheme val="minor"/>
      </rPr>
      <t>y++</t>
    </r>
  </si>
  <si>
    <t>exy=(x-1)²b²+(y+1)²a²-a²b²=x²b²-2xb²+b²+y²a²+2ya²+a²-a²b²=e-(2x-1)b²+(2y+1)a²</t>
  </si>
  <si>
    <t>e=exy+(2x-1)b²-(2y+1)a²</t>
  </si>
  <si>
    <t>ex=x²b²+(y+1)²a²–a²b²=x²b²+y²a²-(2y-1)a²–a²b²=e+(2y+1)a²=exy+(2x-1)b²</t>
  </si>
  <si>
    <t>ey=(x-1)²b²+y²a²–a²b²=x²b²-(2x-1)b²+y²a²–a²b²=e-(2x-1)b²=exy-(2y+1)a²</t>
  </si>
  <si>
    <t>2xb2+b2</t>
  </si>
  <si>
    <t>2xb2-2x+1b2</t>
  </si>
  <si>
    <t>(2*x+1)b²=2xb²+b²</t>
  </si>
  <si>
    <t>v - target velocity, slew speed</t>
  </si>
  <si>
    <t>v0 - initial velocity, base speed,</t>
  </si>
  <si>
    <t>p1 - delay period for the initial step:</t>
  </si>
  <si>
    <t>mm/min for 2.5mm screw</t>
  </si>
  <si>
    <t>arr delta</t>
  </si>
  <si>
    <t>rev/s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</si>
</sst>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43" formatCode="_-* #,##0.00\ _₽_-;\-* #,##0.00\ _₽_-;_-* &quot;-&quot;??\ _₽_-;_-@_-"/>
    <numFmt numFmtId="164" formatCode="0.00000"/>
    <numFmt numFmtId="165" formatCode="0.0000"/>
    <numFmt numFmtId="166" formatCode="0.0"/>
    <numFmt numFmtId="167" formatCode="_-* #,##0\ _₽_-;\-* #,##0\ _₽_-;_-* &quot;-&quot;??\ _₽_-;_-@_-"/>
    <numFmt numFmtId="168" formatCode="0.00000000"/>
    <numFmt numFmtId="169" formatCode="_-* #,##0.0\ _₽_-;\-* #,##0.0\ _₽_-;_-* &quot;-&quot;?\ _₽_-;_-@_-"/>
    <numFmt numFmtId="170" formatCode="0.000"/>
    <numFmt numFmtId="171" formatCode="0.0000000000000"/>
  </numFmts>
  <fonts count="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0" tint="-0.34998626667073579"/>
      <name val="Calibri"/>
      <family val="2"/>
      <charset val="204"/>
      <scheme val="minor"/>
    </font>
    <font>
      <sz val="9"/>
      <color rgb="FF595959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0"/>
      <color theme="1"/>
      <name val="Times"/>
      <family val="1"/>
    </font>
    <font>
      <i/>
      <sz val="10"/>
      <color theme="1"/>
      <name val="Times"/>
      <family val="1"/>
    </font>
    <font>
      <vertAlign val="superscript"/>
      <sz val="10"/>
      <color theme="1"/>
      <name val="Times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4">
    <xf numFmtId="0" fontId="0" fillId="0" borderId="0" xfId="0"/>
    <xf numFmtId="16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1" fontId="0" fillId="2" borderId="0" xfId="0" applyNumberFormat="1" applyFill="1"/>
    <xf numFmtId="167" fontId="0" fillId="2" borderId="0" xfId="1" applyNumberFormat="1" applyFont="1" applyFill="1"/>
    <xf numFmtId="167" fontId="0" fillId="0" borderId="0" xfId="1" applyNumberFormat="1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6" fontId="0" fillId="4" borderId="1" xfId="0" applyNumberFormat="1" applyFill="1" applyBorder="1"/>
    <xf numFmtId="166" fontId="0" fillId="4" borderId="2" xfId="0" applyNumberFormat="1" applyFill="1" applyBorder="1"/>
    <xf numFmtId="0" fontId="0" fillId="4" borderId="0" xfId="0" applyFill="1"/>
    <xf numFmtId="166" fontId="2" fillId="0" borderId="0" xfId="0" applyNumberFormat="1" applyFont="1"/>
    <xf numFmtId="164" fontId="3" fillId="0" borderId="0" xfId="0" applyNumberFormat="1" applyFont="1" applyAlignment="1">
      <alignment horizontal="left" vertical="center" readingOrder="1"/>
    </xf>
    <xf numFmtId="168" fontId="0" fillId="0" borderId="0" xfId="0" applyNumberFormat="1"/>
    <xf numFmtId="2" fontId="0" fillId="0" borderId="0" xfId="0" applyNumberFormat="1"/>
    <xf numFmtId="169" fontId="0" fillId="0" borderId="0" xfId="0" applyNumberFormat="1"/>
    <xf numFmtId="0" fontId="0" fillId="2" borderId="0" xfId="0" applyFill="1" applyAlignment="1">
      <alignment horizontal="center" vertical="center" wrapText="1"/>
    </xf>
    <xf numFmtId="170" fontId="0" fillId="0" borderId="0" xfId="0" applyNumberFormat="1"/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Border="1"/>
    <xf numFmtId="0" fontId="0" fillId="0" borderId="8" xfId="0" applyBorder="1"/>
    <xf numFmtId="0" fontId="0" fillId="0" borderId="0" xfId="0" applyBorder="1" applyAlignment="1">
      <alignment horizontal="left"/>
    </xf>
    <xf numFmtId="0" fontId="0" fillId="0" borderId="7" xfId="0" applyBorder="1"/>
    <xf numFmtId="0" fontId="0" fillId="0" borderId="8" xfId="0" applyBorder="1" applyAlignment="1">
      <alignment horizontal="center"/>
    </xf>
    <xf numFmtId="0" fontId="5" fillId="5" borderId="0" xfId="0" applyFont="1" applyFill="1" applyAlignment="1">
      <alignment horizontal="center" vertical="center" wrapText="1"/>
    </xf>
    <xf numFmtId="0" fontId="0" fillId="2" borderId="0" xfId="0" applyFill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0" xfId="0" applyBorder="1"/>
    <xf numFmtId="0" fontId="0" fillId="0" borderId="11" xfId="0" applyBorder="1"/>
    <xf numFmtId="171" fontId="0" fillId="0" borderId="0" xfId="0" applyNumberFormat="1"/>
    <xf numFmtId="166" fontId="0" fillId="4" borderId="0" xfId="0" applyNumberFormat="1" applyFill="1" applyBorder="1"/>
    <xf numFmtId="166" fontId="0" fillId="3" borderId="0" xfId="0" applyNumberFormat="1" applyFill="1" applyBorder="1"/>
    <xf numFmtId="1" fontId="0" fillId="3" borderId="2" xfId="0" applyNumberFormat="1" applyFill="1" applyBorder="1"/>
    <xf numFmtId="1" fontId="0" fillId="3" borderId="3" xfId="0" applyNumberFormat="1" applyFill="1" applyBorder="1"/>
    <xf numFmtId="1" fontId="0" fillId="4" borderId="1" xfId="0" applyNumberFormat="1" applyFill="1" applyBorder="1"/>
    <xf numFmtId="1" fontId="0" fillId="4" borderId="2" xfId="0" applyNumberFormat="1" applyFill="1" applyBorder="1"/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target PPS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Лист1!$M$2:$M$35</c:f>
              <c:numCache>
                <c:formatCode>General</c:formatCode>
                <c:ptCount val="34"/>
                <c:pt idx="3" formatCode="0">
                  <c:v>491.80327868852459</c:v>
                </c:pt>
                <c:pt idx="4" formatCode="0">
                  <c:v>631.57894736842104</c:v>
                </c:pt>
                <c:pt idx="5" formatCode="0">
                  <c:v>755.66750629722924</c:v>
                </c:pt>
                <c:pt idx="6" formatCode="0">
                  <c:v>898.20359281437129</c:v>
                </c:pt>
                <c:pt idx="7" formatCode="0">
                  <c:v>1038.0622837370242</c:v>
                </c:pt>
                <c:pt idx="8" formatCode="0">
                  <c:v>1167.3151750972763</c:v>
                </c:pt>
                <c:pt idx="9" formatCode="0">
                  <c:v>1282.051282051282</c:v>
                </c:pt>
                <c:pt idx="10" formatCode="0">
                  <c:v>1395.3488372093022</c:v>
                </c:pt>
                <c:pt idx="11" formatCode="0">
                  <c:v>1492.5373134328358</c:v>
                </c:pt>
                <c:pt idx="12" formatCode="0">
                  <c:v>1595.7446808510638</c:v>
                </c:pt>
                <c:pt idx="13" formatCode="0">
                  <c:v>1685.3932584269662</c:v>
                </c:pt>
                <c:pt idx="14" formatCode="0">
                  <c:v>1764.7058823529412</c:v>
                </c:pt>
                <c:pt idx="15" formatCode="0">
                  <c:v>1851.851851851852</c:v>
                </c:pt>
                <c:pt idx="16" formatCode="0">
                  <c:v>1935.483870967742</c:v>
                </c:pt>
                <c:pt idx="17" formatCode="0">
                  <c:v>2000</c:v>
                </c:pt>
                <c:pt idx="18" formatCode="0">
                  <c:v>2083.3333333333335</c:v>
                </c:pt>
                <c:pt idx="19" formatCode="0">
                  <c:v>2142.8571428571427</c:v>
                </c:pt>
                <c:pt idx="20" formatCode="0">
                  <c:v>2222.2222222222222</c:v>
                </c:pt>
                <c:pt idx="21" formatCode="0">
                  <c:v>2290.0763358778627</c:v>
                </c:pt>
                <c:pt idx="22" formatCode="0">
                  <c:v>2343.75</c:v>
                </c:pt>
                <c:pt idx="23" formatCode="0">
                  <c:v>2419.3548387096776</c:v>
                </c:pt>
                <c:pt idx="24" formatCode="0">
                  <c:v>2479.3388429752067</c:v>
                </c:pt>
                <c:pt idx="25" formatCode="0">
                  <c:v>2542.3728813559323</c:v>
                </c:pt>
                <c:pt idx="26" formatCode="0">
                  <c:v>2586.2068965517242</c:v>
                </c:pt>
                <c:pt idx="27" formatCode="0">
                  <c:v>2654.8672566371683</c:v>
                </c:pt>
                <c:pt idx="28" formatCode="0">
                  <c:v>2702.7027027027025</c:v>
                </c:pt>
                <c:pt idx="29" formatCode="0">
                  <c:v>2752.2935779816512</c:v>
                </c:pt>
                <c:pt idx="30" formatCode="0">
                  <c:v>2803.7383177570096</c:v>
                </c:pt>
                <c:pt idx="31" formatCode="0">
                  <c:v>2857.1428571428573</c:v>
                </c:pt>
                <c:pt idx="32" formatCode="0">
                  <c:v>2912.6213592233012</c:v>
                </c:pt>
                <c:pt idx="33" formatCode="0">
                  <c:v>2970.2970297029701</c:v>
                </c:pt>
              </c:numCache>
            </c:numRef>
          </c:yVal>
          <c:smooth val="1"/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Лист1!$P$2:$P$35</c:f>
              <c:numCache>
                <c:formatCode>_-* #\ ##0.0\ _₽_-;\-* #\ ##0.0\ _₽_-;_-* "-"?\ _₽_-;_-@_-</c:formatCode>
                <c:ptCount val="34"/>
                <c:pt idx="3">
                  <c:v>491.80327868852459</c:v>
                </c:pt>
                <c:pt idx="4">
                  <c:v>631.81571465403397</c:v>
                </c:pt>
                <c:pt idx="5">
                  <c:v>755.73027501427407</c:v>
                </c:pt>
                <c:pt idx="6">
                  <c:v>898.79073148967382</c:v>
                </c:pt>
                <c:pt idx="7">
                  <c:v>1037.8239640738236</c:v>
                </c:pt>
                <c:pt idx="8">
                  <c:v>1166.3213704670304</c:v>
                </c:pt>
                <c:pt idx="9">
                  <c:v>1284.5378399477045</c:v>
                </c:pt>
                <c:pt idx="10">
                  <c:v>1393.9804972415545</c:v>
                </c:pt>
                <c:pt idx="11">
                  <c:v>1496.0963332775848</c:v>
                </c:pt>
                <c:pt idx="12">
                  <c:v>1592.0635341646948</c:v>
                </c:pt>
                <c:pt idx="13">
                  <c:v>1682.8109452508793</c:v>
                </c:pt>
                <c:pt idx="14">
                  <c:v>1769.0714111145871</c:v>
                </c:pt>
                <c:pt idx="15">
                  <c:v>1851.4293206806283</c:v>
                </c:pt>
                <c:pt idx="16">
                  <c:v>1930.3569141279206</c:v>
                </c:pt>
                <c:pt idx="17">
                  <c:v>2006.2409571231171</c:v>
                </c:pt>
                <c:pt idx="18">
                  <c:v>2079.4022399213077</c:v>
                </c:pt>
                <c:pt idx="19">
                  <c:v>2150.1099327756838</c:v>
                </c:pt>
                <c:pt idx="20">
                  <c:v>2218.5922781624272</c:v>
                </c:pt>
                <c:pt idx="21">
                  <c:v>2285.0446596103548</c:v>
                </c:pt>
                <c:pt idx="22">
                  <c:v>2349.6357719059779</c:v>
                </c:pt>
                <c:pt idx="23">
                  <c:v>2412.5124000619203</c:v>
                </c:pt>
                <c:pt idx="24">
                  <c:v>2473.8031656375656</c:v>
                </c:pt>
                <c:pt idx="25">
                  <c:v>2533.6214968053418</c:v>
                </c:pt>
                <c:pt idx="26">
                  <c:v>2592.0680077658117</c:v>
                </c:pt>
                <c:pt idx="27">
                  <c:v>2649.2324235424544</c:v>
                </c:pt>
                <c:pt idx="28">
                  <c:v>2705.1951510610565</c:v>
                </c:pt>
                <c:pt idx="29">
                  <c:v>2760.0285722290341</c:v>
                </c:pt>
                <c:pt idx="30">
                  <c:v>2813.7981164518087</c:v>
                </c:pt>
                <c:pt idx="31">
                  <c:v>2866.5631566084371</c:v>
                </c:pt>
                <c:pt idx="32">
                  <c:v>2918.3777625553016</c:v>
                </c:pt>
                <c:pt idx="33">
                  <c:v>2969.2913387648091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8871264"/>
        <c:axId val="1798869632"/>
      </c:scatterChart>
      <c:valAx>
        <c:axId val="1798871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98869632"/>
        <c:crosses val="autoZero"/>
        <c:crossBetween val="midCat"/>
      </c:valAx>
      <c:valAx>
        <c:axId val="1798869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98871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ARR table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Лист1!$E$2:$E$26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xVal>
          <c:yVal>
            <c:numRef>
              <c:f>Лист1!$F$2:$F$26</c:f>
              <c:numCache>
                <c:formatCode>0.0</c:formatCode>
                <c:ptCount val="25"/>
                <c:pt idx="3">
                  <c:v>544.46550648047082</c:v>
                </c:pt>
                <c:pt idx="4">
                  <c:v>275.46080960276782</c:v>
                </c:pt>
                <c:pt idx="5">
                  <c:v>240.62481550025441</c:v>
                </c:pt>
                <c:pt idx="6">
                  <c:v>217.40439975634914</c:v>
                </c:pt>
                <c:pt idx="7">
                  <c:v>200.27848663883174</c:v>
                </c:pt>
                <c:pt idx="8">
                  <c:v>186.88937838692743</c:v>
                </c:pt>
                <c:pt idx="9">
                  <c:v>176.0100369167275</c:v>
                </c:pt>
                <c:pt idx="10">
                  <c:v>166.9221889770788</c:v>
                </c:pt>
                <c:pt idx="11">
                  <c:v>159.17059594706825</c:v>
                </c:pt>
                <c:pt idx="12">
                  <c:v>152.4495436212375</c:v>
                </c:pt>
                <c:pt idx="13">
                  <c:v>146.54444526937019</c:v>
                </c:pt>
                <c:pt idx="14">
                  <c:v>141.29930830317721</c:v>
                </c:pt>
                <c:pt idx="15">
                  <c:v>136.59745735886088</c:v>
                </c:pt>
                <c:pt idx="16">
                  <c:v>132.34953475060311</c:v>
                </c:pt>
                <c:pt idx="17">
                  <c:v>128.48572257675917</c:v>
                </c:pt>
                <c:pt idx="18">
                  <c:v>124.95052766603661</c:v>
                </c:pt>
                <c:pt idx="19">
                  <c:v>121.69918282930107</c:v>
                </c:pt>
                <c:pt idx="20">
                  <c:v>118.69510115568805</c:v>
                </c:pt>
                <c:pt idx="21">
                  <c:v>115.90803591910027</c:v>
                </c:pt>
                <c:pt idx="22">
                  <c:v>113.3127250251387</c:v>
                </c:pt>
                <c:pt idx="23">
                  <c:v>110.88787545633095</c:v>
                </c:pt>
                <c:pt idx="24">
                  <c:v>108.61539091378116</c:v>
                </c:pt>
              </c:numCache>
            </c:numRef>
          </c:yVal>
          <c:smooth val="1"/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Лист1!$E$2:$E$26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xVal>
          <c:yVal>
            <c:numRef>
              <c:f>Лист1!$G$2:$G$26</c:f>
              <c:numCache>
                <c:formatCode>0.000</c:formatCode>
                <c:ptCount val="25"/>
                <c:pt idx="3">
                  <c:v>544.46550648047082</c:v>
                </c:pt>
                <c:pt idx="4">
                  <c:v>474.82199800027496</c:v>
                </c:pt>
                <c:pt idx="5">
                  <c:v>396.96702635650485</c:v>
                </c:pt>
                <c:pt idx="6">
                  <c:v>333.7818131510702</c:v>
                </c:pt>
                <c:pt idx="7">
                  <c:v>289.06636422461725</c:v>
                </c:pt>
                <c:pt idx="8">
                  <c:v>257.21898577565366</c:v>
                </c:pt>
                <c:pt idx="9">
                  <c:v>233.54703199106496</c:v>
                </c:pt>
                <c:pt idx="10">
                  <c:v>215.21104534363855</c:v>
                </c:pt>
                <c:pt idx="11">
                  <c:v>200.52184697410001</c:v>
                </c:pt>
                <c:pt idx="12">
                  <c:v>188.43469092921626</c:v>
                </c:pt>
                <c:pt idx="13">
                  <c:v>178.2731452078088</c:v>
                </c:pt>
                <c:pt idx="14">
                  <c:v>169.58049184175542</c:v>
                </c:pt>
                <c:pt idx="15">
                  <c:v>162.03697146252014</c:v>
                </c:pt>
                <c:pt idx="16">
                  <c:v>155.41167428901682</c:v>
                </c:pt>
                <c:pt idx="17">
                  <c:v>149.53338428011659</c:v>
                </c:pt>
                <c:pt idx="18">
                  <c:v>144.27223085580263</c:v>
                </c:pt>
                <c:pt idx="19">
                  <c:v>139.52774945451981</c:v>
                </c:pt>
                <c:pt idx="20">
                  <c:v>135.22087990339452</c:v>
                </c:pt>
                <c:pt idx="21">
                  <c:v>131.28846245445195</c:v>
                </c:pt>
                <c:pt idx="22">
                  <c:v>127.6793635792521</c:v>
                </c:pt>
                <c:pt idx="23">
                  <c:v>124.35169244821296</c:v>
                </c:pt>
                <c:pt idx="24">
                  <c:v>121.27076404750332</c:v>
                </c:pt>
              </c:numCache>
            </c:numRef>
          </c:yVal>
          <c:smooth val="1"/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Лист1!$E$2:$E$26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xVal>
          <c:yVal>
            <c:numRef>
              <c:f>Лист1!$H$2:$H$26</c:f>
              <c:numCache>
                <c:formatCode>0.0</c:formatCode>
                <c:ptCount val="25"/>
                <c:pt idx="3" formatCode="0">
                  <c:v>610</c:v>
                </c:pt>
                <c:pt idx="4" formatCode="0">
                  <c:v>475</c:v>
                </c:pt>
                <c:pt idx="5" formatCode="0">
                  <c:v>397</c:v>
                </c:pt>
                <c:pt idx="6" formatCode="0">
                  <c:v>334</c:v>
                </c:pt>
                <c:pt idx="7" formatCode="0">
                  <c:v>289</c:v>
                </c:pt>
                <c:pt idx="8" formatCode="0">
                  <c:v>257</c:v>
                </c:pt>
                <c:pt idx="9" formatCode="0">
                  <c:v>234</c:v>
                </c:pt>
                <c:pt idx="10" formatCode="0">
                  <c:v>215</c:v>
                </c:pt>
                <c:pt idx="11" formatCode="0">
                  <c:v>201</c:v>
                </c:pt>
                <c:pt idx="12" formatCode="0">
                  <c:v>188</c:v>
                </c:pt>
                <c:pt idx="13" formatCode="0">
                  <c:v>178</c:v>
                </c:pt>
                <c:pt idx="14" formatCode="0">
                  <c:v>170</c:v>
                </c:pt>
                <c:pt idx="15" formatCode="0">
                  <c:v>162</c:v>
                </c:pt>
                <c:pt idx="16" formatCode="0">
                  <c:v>155</c:v>
                </c:pt>
                <c:pt idx="17" formatCode="0">
                  <c:v>150</c:v>
                </c:pt>
                <c:pt idx="18" formatCode="0">
                  <c:v>144</c:v>
                </c:pt>
                <c:pt idx="19" formatCode="0">
                  <c:v>140</c:v>
                </c:pt>
                <c:pt idx="20" formatCode="0">
                  <c:v>135</c:v>
                </c:pt>
                <c:pt idx="21" formatCode="0">
                  <c:v>131</c:v>
                </c:pt>
                <c:pt idx="22" formatCode="0">
                  <c:v>128</c:v>
                </c:pt>
                <c:pt idx="23" formatCode="0">
                  <c:v>124</c:v>
                </c:pt>
                <c:pt idx="24" formatCode="0">
                  <c:v>121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8870720"/>
        <c:axId val="1798871808"/>
      </c:scatterChart>
      <c:valAx>
        <c:axId val="179887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98871808"/>
        <c:crosses val="autoZero"/>
        <c:crossBetween val="midCat"/>
      </c:valAx>
      <c:valAx>
        <c:axId val="179887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98870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Лист1!$W$41:$W$70</c:f>
              <c:numCache>
                <c:formatCode>0.00000</c:formatCode>
                <c:ptCount val="30"/>
                <c:pt idx="0">
                  <c:v>-400.39677700000004</c:v>
                </c:pt>
                <c:pt idx="1">
                  <c:v>-395.19657599999994</c:v>
                </c:pt>
                <c:pt idx="2">
                  <c:v>-384.79639900000006</c:v>
                </c:pt>
                <c:pt idx="3">
                  <c:v>-369.59624800000006</c:v>
                </c:pt>
                <c:pt idx="4">
                  <c:v>-349.99612500000012</c:v>
                </c:pt>
                <c:pt idx="5">
                  <c:v>-326.3960320000001</c:v>
                </c:pt>
                <c:pt idx="6">
                  <c:v>-299.19597100000033</c:v>
                </c:pt>
                <c:pt idx="7">
                  <c:v>-268.79594400000019</c:v>
                </c:pt>
                <c:pt idx="8">
                  <c:v>-235.59595300000001</c:v>
                </c:pt>
                <c:pt idx="9">
                  <c:v>-199.99600000000009</c:v>
                </c:pt>
                <c:pt idx="10">
                  <c:v>-162.39608700000031</c:v>
                </c:pt>
                <c:pt idx="11">
                  <c:v>-123.19621600000005</c:v>
                </c:pt>
                <c:pt idx="12">
                  <c:v>-82.79638900000009</c:v>
                </c:pt>
                <c:pt idx="13">
                  <c:v>-41.59660800000006</c:v>
                </c:pt>
                <c:pt idx="14">
                  <c:v>3.1249999997271516E-3</c:v>
                </c:pt>
                <c:pt idx="15">
                  <c:v>41.602807999999641</c:v>
                </c:pt>
                <c:pt idx="16">
                  <c:v>82.802438999999595</c:v>
                </c:pt>
                <c:pt idx="17">
                  <c:v>123.20201599999973</c:v>
                </c:pt>
                <c:pt idx="18">
                  <c:v>162.40153699999973</c:v>
                </c:pt>
                <c:pt idx="19">
                  <c:v>200.00099999999975</c:v>
                </c:pt>
                <c:pt idx="20">
                  <c:v>235.60040300000037</c:v>
                </c:pt>
                <c:pt idx="21">
                  <c:v>268.79974399999992</c:v>
                </c:pt>
                <c:pt idx="22">
                  <c:v>299.19902099999899</c:v>
                </c:pt>
                <c:pt idx="23">
                  <c:v>326.3982319999991</c:v>
                </c:pt>
                <c:pt idx="24">
                  <c:v>349.99737499999992</c:v>
                </c:pt>
                <c:pt idx="25">
                  <c:v>369.59644799999933</c:v>
                </c:pt>
                <c:pt idx="26">
                  <c:v>384.79544900000019</c:v>
                </c:pt>
                <c:pt idx="27">
                  <c:v>395.19437600000037</c:v>
                </c:pt>
                <c:pt idx="28">
                  <c:v>400.39322699999911</c:v>
                </c:pt>
                <c:pt idx="29">
                  <c:v>399.99199999999973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7710192"/>
        <c:axId val="1807705840"/>
      </c:scatterChart>
      <c:valAx>
        <c:axId val="1807710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7705840"/>
        <c:crosses val="autoZero"/>
        <c:crossBetween val="midCat"/>
      </c:valAx>
      <c:valAx>
        <c:axId val="180770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7710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Лист1!$P$1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Лист1!$P$2:$P$48</c:f>
              <c:numCache>
                <c:formatCode>_-* #\ ##0.0\ _₽_-;\-* #\ ##0.0\ _₽_-;_-* "-"?\ _₽_-;_-@_-</c:formatCode>
                <c:ptCount val="47"/>
                <c:pt idx="3">
                  <c:v>491.80327868852459</c:v>
                </c:pt>
                <c:pt idx="4">
                  <c:v>631.81571465403397</c:v>
                </c:pt>
                <c:pt idx="5">
                  <c:v>755.73027501427407</c:v>
                </c:pt>
                <c:pt idx="6">
                  <c:v>898.79073148967382</c:v>
                </c:pt>
                <c:pt idx="7">
                  <c:v>1037.8239640738236</c:v>
                </c:pt>
                <c:pt idx="8">
                  <c:v>1166.3213704670304</c:v>
                </c:pt>
                <c:pt idx="9">
                  <c:v>1284.5378399477045</c:v>
                </c:pt>
                <c:pt idx="10">
                  <c:v>1393.9804972415545</c:v>
                </c:pt>
                <c:pt idx="11">
                  <c:v>1496.0963332775848</c:v>
                </c:pt>
                <c:pt idx="12">
                  <c:v>1592.0635341646948</c:v>
                </c:pt>
                <c:pt idx="13">
                  <c:v>1682.8109452508793</c:v>
                </c:pt>
                <c:pt idx="14">
                  <c:v>1769.0714111145871</c:v>
                </c:pt>
                <c:pt idx="15">
                  <c:v>1851.4293206806283</c:v>
                </c:pt>
                <c:pt idx="16">
                  <c:v>1930.3569141279206</c:v>
                </c:pt>
                <c:pt idx="17">
                  <c:v>2006.2409571231171</c:v>
                </c:pt>
                <c:pt idx="18">
                  <c:v>2079.4022399213077</c:v>
                </c:pt>
                <c:pt idx="19">
                  <c:v>2150.1099327756838</c:v>
                </c:pt>
                <c:pt idx="20">
                  <c:v>2218.5922781624272</c:v>
                </c:pt>
                <c:pt idx="21">
                  <c:v>2285.0446596103548</c:v>
                </c:pt>
                <c:pt idx="22">
                  <c:v>2349.6357719059779</c:v>
                </c:pt>
                <c:pt idx="23">
                  <c:v>2412.5124000619203</c:v>
                </c:pt>
                <c:pt idx="24">
                  <c:v>2473.8031656375656</c:v>
                </c:pt>
                <c:pt idx="25">
                  <c:v>2533.6214968053418</c:v>
                </c:pt>
                <c:pt idx="26">
                  <c:v>2592.0680077658117</c:v>
                </c:pt>
                <c:pt idx="27">
                  <c:v>2649.2324235424544</c:v>
                </c:pt>
                <c:pt idx="28">
                  <c:v>2705.1951510610565</c:v>
                </c:pt>
                <c:pt idx="29">
                  <c:v>2760.0285722290341</c:v>
                </c:pt>
                <c:pt idx="30">
                  <c:v>2813.7981164518087</c:v>
                </c:pt>
                <c:pt idx="31">
                  <c:v>2866.5631566084371</c:v>
                </c:pt>
                <c:pt idx="32">
                  <c:v>2918.3777625553016</c:v>
                </c:pt>
                <c:pt idx="33">
                  <c:v>2969.2913387648091</c:v>
                </c:pt>
                <c:pt idx="34">
                  <c:v>3019.3491670569751</c:v>
                </c:pt>
                <c:pt idx="35">
                  <c:v>3068.5928710652665</c:v>
                </c:pt>
                <c:pt idx="36">
                  <c:v>3117.0608157508423</c:v>
                </c:pt>
                <c:pt idx="37">
                  <c:v>3164.7884526933399</c:v>
                </c:pt>
                <c:pt idx="38">
                  <c:v>3211.8086198607612</c:v>
                </c:pt>
                <c:pt idx="39">
                  <c:v>3258.1518029626031</c:v>
                </c:pt>
                <c:pt idx="40">
                  <c:v>3303.8463642202591</c:v>
                </c:pt>
                <c:pt idx="41">
                  <c:v>3348.918743372772</c:v>
                </c:pt>
                <c:pt idx="42">
                  <c:v>3393.3936349182868</c:v>
                </c:pt>
                <c:pt idx="43">
                  <c:v>3437.2941449294549</c:v>
                </c:pt>
                <c:pt idx="44">
                  <c:v>3480.6419302419213</c:v>
                </c:pt>
                <c:pt idx="45">
                  <c:v>3523.4573223736934</c:v>
                </c:pt>
                <c:pt idx="46">
                  <c:v>3565.7594381700865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7711280"/>
        <c:axId val="1807704208"/>
      </c:scatterChart>
      <c:valAx>
        <c:axId val="180771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7704208"/>
        <c:crosses val="autoZero"/>
        <c:crossBetween val="midCat"/>
      </c:valAx>
      <c:valAx>
        <c:axId val="1807704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\ _₽_-;\-* #\ ##0.0\ _₽_-;_-* &quot;-&quot;?\ _₽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7711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426358</xdr:colOff>
      <xdr:row>1</xdr:row>
      <xdr:rowOff>126999</xdr:rowOff>
    </xdr:from>
    <xdr:to>
      <xdr:col>31</xdr:col>
      <xdr:colOff>504265</xdr:colOff>
      <xdr:row>28</xdr:row>
      <xdr:rowOff>145676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455703</xdr:colOff>
      <xdr:row>31</xdr:row>
      <xdr:rowOff>159070</xdr:rowOff>
    </xdr:from>
    <xdr:to>
      <xdr:col>32</xdr:col>
      <xdr:colOff>191031</xdr:colOff>
      <xdr:row>46</xdr:row>
      <xdr:rowOff>169635</xdr:rowOff>
    </xdr:to>
    <xdr:graphicFrame macro="">
      <xdr:nvGraphicFramePr>
        <xdr:cNvPr id="13" name="Диаграмма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388510</xdr:colOff>
      <xdr:row>97</xdr:row>
      <xdr:rowOff>87914</xdr:rowOff>
    </xdr:from>
    <xdr:to>
      <xdr:col>30</xdr:col>
      <xdr:colOff>176211</xdr:colOff>
      <xdr:row>112</xdr:row>
      <xdr:rowOff>21759</xdr:rowOff>
    </xdr:to>
    <xdr:graphicFrame macro="">
      <xdr:nvGraphicFramePr>
        <xdr:cNvPr id="15" name="Диаграмма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26529</xdr:colOff>
      <xdr:row>0</xdr:row>
      <xdr:rowOff>434851</xdr:rowOff>
    </xdr:from>
    <xdr:to>
      <xdr:col>35</xdr:col>
      <xdr:colOff>342380</xdr:colOff>
      <xdr:row>16</xdr:row>
      <xdr:rowOff>25043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405089</xdr:colOff>
      <xdr:row>5</xdr:row>
      <xdr:rowOff>23283</xdr:rowOff>
    </xdr:from>
    <xdr:to>
      <xdr:col>11</xdr:col>
      <xdr:colOff>248132</xdr:colOff>
      <xdr:row>20</xdr:row>
      <xdr:rowOff>171249</xdr:rowOff>
    </xdr:to>
    <xdr:sp macro="" textlink="">
      <xdr:nvSpPr>
        <xdr:cNvPr id="2" name="Пирог 1"/>
        <xdr:cNvSpPr/>
      </xdr:nvSpPr>
      <xdr:spPr>
        <a:xfrm>
          <a:off x="4062689" y="944033"/>
          <a:ext cx="2891043" cy="2910216"/>
        </a:xfrm>
        <a:prstGeom prst="pie">
          <a:avLst>
            <a:gd name="adj1" fmla="val 12580656"/>
            <a:gd name="adj2" fmla="val 15598426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6350</xdr:colOff>
      <xdr:row>3</xdr:row>
      <xdr:rowOff>69850</xdr:rowOff>
    </xdr:from>
    <xdr:to>
      <xdr:col>13</xdr:col>
      <xdr:colOff>25400</xdr:colOff>
      <xdr:row>23</xdr:row>
      <xdr:rowOff>177800</xdr:rowOff>
    </xdr:to>
    <xdr:grpSp>
      <xdr:nvGrpSpPr>
        <xdr:cNvPr id="3" name="Группа 2"/>
        <xdr:cNvGrpSpPr/>
      </xdr:nvGrpSpPr>
      <xdr:grpSpPr>
        <a:xfrm>
          <a:off x="6803390" y="618490"/>
          <a:ext cx="4286250" cy="3765550"/>
          <a:chOff x="4895850" y="622300"/>
          <a:chExt cx="4286250" cy="3790950"/>
        </a:xfrm>
      </xdr:grpSpPr>
      <xdr:cxnSp macro="">
        <xdr:nvCxnSpPr>
          <xdr:cNvPr id="4" name="Прямая соединительная линия 3"/>
          <xdr:cNvCxnSpPr/>
        </xdr:nvCxnSpPr>
        <xdr:spPr>
          <a:xfrm flipV="1">
            <a:off x="5250543" y="1029861"/>
            <a:ext cx="2857500" cy="2856339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" name="Прямая со стрелкой 4"/>
          <xdr:cNvCxnSpPr/>
        </xdr:nvCxnSpPr>
        <xdr:spPr>
          <a:xfrm flipV="1">
            <a:off x="6731000" y="622300"/>
            <a:ext cx="0" cy="3790950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6" name="Прямая со стрелкой 5"/>
          <xdr:cNvCxnSpPr/>
        </xdr:nvCxnSpPr>
        <xdr:spPr>
          <a:xfrm>
            <a:off x="4895850" y="2400300"/>
            <a:ext cx="4286250" cy="0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7" name="Прямая соединительная линия 6"/>
          <xdr:cNvCxnSpPr/>
        </xdr:nvCxnSpPr>
        <xdr:spPr>
          <a:xfrm>
            <a:off x="5107215" y="787399"/>
            <a:ext cx="3160486" cy="3145065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7</xdr:col>
      <xdr:colOff>208643</xdr:colOff>
      <xdr:row>7</xdr:row>
      <xdr:rowOff>90714</xdr:rowOff>
    </xdr:from>
    <xdr:to>
      <xdr:col>10</xdr:col>
      <xdr:colOff>439965</xdr:colOff>
      <xdr:row>18</xdr:row>
      <xdr:rowOff>104322</xdr:rowOff>
    </xdr:to>
    <xdr:sp macro="" textlink="">
      <xdr:nvSpPr>
        <xdr:cNvPr id="8" name="Прямоугольник 7"/>
        <xdr:cNvSpPr/>
      </xdr:nvSpPr>
      <xdr:spPr>
        <a:xfrm>
          <a:off x="4475843" y="1379764"/>
          <a:ext cx="2060122" cy="2039258"/>
        </a:xfrm>
        <a:prstGeom prst="rect">
          <a:avLst/>
        </a:prstGeom>
        <a:noFill/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45"/>
  <sheetViews>
    <sheetView tabSelected="1" topLeftCell="F1" zoomScale="99" zoomScaleNormal="85" workbookViewId="0">
      <selection activeCell="I5" sqref="I5"/>
    </sheetView>
  </sheetViews>
  <sheetFormatPr defaultRowHeight="15" x14ac:dyDescent="0.25"/>
  <cols>
    <col min="1" max="1" width="41" customWidth="1"/>
    <col min="2" max="2" width="19.5703125" customWidth="1"/>
    <col min="3" max="4" width="12.28515625" customWidth="1"/>
    <col min="5" max="6" width="9.42578125" bestFit="1" customWidth="1"/>
    <col min="7" max="7" width="10" bestFit="1" customWidth="1"/>
    <col min="8" max="11" width="13.7109375" customWidth="1"/>
    <col min="12" max="12" width="19.28515625" customWidth="1"/>
    <col min="13" max="13" width="6.7109375" customWidth="1"/>
    <col min="14" max="14" width="4.140625" bestFit="1" customWidth="1"/>
    <col min="15" max="15" width="12.7109375" customWidth="1"/>
    <col min="16" max="18" width="19.5703125" customWidth="1"/>
    <col min="19" max="19" width="9.42578125" bestFit="1" customWidth="1"/>
    <col min="20" max="20" width="15.28515625" bestFit="1" customWidth="1"/>
    <col min="22" max="22" width="9.28515625" bestFit="1" customWidth="1"/>
    <col min="23" max="23" width="11.42578125" customWidth="1"/>
  </cols>
  <sheetData>
    <row r="1" spans="1:20" ht="34.5" customHeight="1" thickBot="1" x14ac:dyDescent="0.3">
      <c r="A1" t="s">
        <v>1</v>
      </c>
      <c r="B1">
        <v>10</v>
      </c>
      <c r="C1" t="s">
        <v>0</v>
      </c>
      <c r="F1" s="9" t="s">
        <v>35</v>
      </c>
      <c r="G1" s="9" t="s">
        <v>36</v>
      </c>
      <c r="H1" s="18" t="s">
        <v>31</v>
      </c>
      <c r="I1" s="18" t="s">
        <v>149</v>
      </c>
      <c r="J1" s="18"/>
      <c r="K1" s="18"/>
      <c r="L1" s="8"/>
      <c r="M1" s="9" t="s">
        <v>34</v>
      </c>
      <c r="O1" s="9" t="s">
        <v>37</v>
      </c>
      <c r="Q1" s="17" t="s">
        <v>148</v>
      </c>
      <c r="R1" s="17"/>
    </row>
    <row r="2" spans="1:20" x14ac:dyDescent="0.25">
      <c r="A2" t="s">
        <v>2</v>
      </c>
      <c r="B2">
        <v>2000</v>
      </c>
      <c r="C2" t="s">
        <v>0</v>
      </c>
      <c r="E2">
        <v>1</v>
      </c>
      <c r="F2" s="13"/>
      <c r="G2" s="19"/>
      <c r="H2" s="10"/>
      <c r="I2" s="38"/>
      <c r="J2" s="38"/>
      <c r="K2" s="38"/>
      <c r="M2" s="12"/>
      <c r="N2" s="4"/>
      <c r="O2" t="str">
        <f t="shared" ref="O2:O48" si="0">CONCATENATE("0x",DEC2HEX(G2*POWER(2,24),8),",")</f>
        <v>0x00000000,</v>
      </c>
      <c r="P2" s="17"/>
      <c r="Q2" s="17">
        <v>4</v>
      </c>
      <c r="R2" s="17" t="s">
        <v>150</v>
      </c>
      <c r="S2">
        <f>10/0.00625</f>
        <v>1600</v>
      </c>
      <c r="T2" s="15"/>
    </row>
    <row r="3" spans="1:20" x14ac:dyDescent="0.25">
      <c r="A3" t="s">
        <v>32</v>
      </c>
      <c r="B3" s="7">
        <v>72000000</v>
      </c>
      <c r="C3" t="s">
        <v>28</v>
      </c>
      <c r="D3" s="3">
        <f t="shared" ref="D3:D5" si="1">G2-G3</f>
        <v>0</v>
      </c>
      <c r="E3">
        <v>2</v>
      </c>
      <c r="F3" s="13"/>
      <c r="G3" s="19"/>
      <c r="H3" s="11"/>
      <c r="I3" s="38"/>
      <c r="J3" s="38"/>
      <c r="K3" s="38"/>
      <c r="M3" s="12"/>
      <c r="N3" s="4">
        <f t="shared" ref="N3:N5" si="2">M3-M2</f>
        <v>0</v>
      </c>
      <c r="O3" t="str">
        <f t="shared" si="0"/>
        <v>0x00000000,</v>
      </c>
      <c r="P3" s="17"/>
      <c r="Q3" s="17"/>
      <c r="R3" s="17"/>
    </row>
    <row r="4" spans="1:20" x14ac:dyDescent="0.25">
      <c r="A4" s="7"/>
      <c r="D4" s="3">
        <f t="shared" si="1"/>
        <v>0</v>
      </c>
      <c r="E4">
        <v>3</v>
      </c>
      <c r="F4" s="13"/>
      <c r="G4" s="19"/>
      <c r="H4" s="11"/>
      <c r="I4" s="38"/>
      <c r="J4" s="38"/>
      <c r="K4" s="38"/>
      <c r="M4" s="12"/>
      <c r="N4" s="4">
        <f t="shared" si="2"/>
        <v>0</v>
      </c>
      <c r="O4" t="str">
        <f t="shared" si="0"/>
        <v>0x00000000,</v>
      </c>
      <c r="P4" s="17"/>
    </row>
    <row r="5" spans="1:20" x14ac:dyDescent="0.25">
      <c r="B5">
        <f>72000000/(240)</f>
        <v>300000</v>
      </c>
      <c r="D5" s="3">
        <f t="shared" si="1"/>
        <v>-544.46550648047082</v>
      </c>
      <c r="E5">
        <v>4</v>
      </c>
      <c r="F5" s="13">
        <f>B17</f>
        <v>544.46550648047082</v>
      </c>
      <c r="G5" s="19">
        <f>B17</f>
        <v>544.46550648047082</v>
      </c>
      <c r="H5" s="40">
        <v>610</v>
      </c>
      <c r="I5" s="39"/>
      <c r="J5" s="39" t="str">
        <f>H5&amp;","</f>
        <v>610,</v>
      </c>
      <c r="K5" s="39">
        <f>G6*100/G5</f>
        <v>87.208830008280088</v>
      </c>
      <c r="M5" s="4">
        <f>$B$12/H5</f>
        <v>491.80327868852459</v>
      </c>
      <c r="N5" s="4">
        <f t="shared" si="2"/>
        <v>491.80327868852459</v>
      </c>
      <c r="O5" t="e">
        <f t="shared" si="0"/>
        <v>#NUM!</v>
      </c>
      <c r="P5" s="17">
        <f>$B$12/610</f>
        <v>491.80327868852459</v>
      </c>
      <c r="Q5" s="17">
        <f>M5*60/400*Q$2</f>
        <v>295.08196721311475</v>
      </c>
      <c r="R5" s="17">
        <f>M5/400</f>
        <v>1.2295081967213115</v>
      </c>
    </row>
    <row r="6" spans="1:20" x14ac:dyDescent="0.25">
      <c r="A6" t="s">
        <v>30</v>
      </c>
      <c r="B6">
        <v>1</v>
      </c>
      <c r="D6" s="3">
        <f>G5-G6</f>
        <v>69.643508480195862</v>
      </c>
      <c r="E6">
        <v>5</v>
      </c>
      <c r="F6" s="13">
        <f t="shared" ref="F6:F35" si="3">F5*(1+-1*$B$22*F5*F5)</f>
        <v>275.46080960276782</v>
      </c>
      <c r="G6" s="19">
        <f t="shared" ref="G6:G48" si="4">G5*(1+L6+1.5*L6*L6)</f>
        <v>474.82199800027496</v>
      </c>
      <c r="H6" s="40">
        <f t="shared" ref="H6:H35" si="5">ROUND(G6,0)</f>
        <v>475</v>
      </c>
      <c r="I6" s="39">
        <f>H5-H6</f>
        <v>135</v>
      </c>
      <c r="J6" s="39" t="str">
        <f t="shared" ref="J6:J69" si="6">H6&amp;","</f>
        <v>475,</v>
      </c>
      <c r="K6" s="39">
        <f>G7*100/G6</f>
        <v>83.603335150507277</v>
      </c>
      <c r="L6" s="2">
        <f t="shared" ref="L6:L48" si="7">-1*$B$22*G5*G5</f>
        <v>-0.49407114624505932</v>
      </c>
      <c r="M6" s="4">
        <f t="shared" ref="M6:M69" si="8">$B$12/H6</f>
        <v>631.57894736842104</v>
      </c>
      <c r="N6" s="4">
        <f>M6-M5</f>
        <v>139.77566867989646</v>
      </c>
      <c r="O6" t="e">
        <f t="shared" si="0"/>
        <v>#NUM!</v>
      </c>
      <c r="P6" s="17">
        <f>$B$12/G6</f>
        <v>631.81571465403397</v>
      </c>
      <c r="Q6" s="17">
        <f t="shared" ref="Q6:Q69" si="9">M6*60/400*Q$2</f>
        <v>378.9473684210526</v>
      </c>
      <c r="R6" s="17">
        <f t="shared" ref="R6:R69" si="10">M6/400</f>
        <v>1.5789473684210527</v>
      </c>
      <c r="S6">
        <f t="shared" ref="S6:S44" si="11">L6*65536</f>
        <v>-32379.446640316208</v>
      </c>
    </row>
    <row r="7" spans="1:20" x14ac:dyDescent="0.25">
      <c r="A7" t="s">
        <v>3</v>
      </c>
      <c r="B7" s="5">
        <f>((((72000000)/((B6)/(1/B12)))+0.5)-1)</f>
        <v>239.5</v>
      </c>
      <c r="D7" s="3">
        <f t="shared" ref="D7:D37" si="12">G6-G7</f>
        <v>77.854971643770114</v>
      </c>
      <c r="E7">
        <v>6</v>
      </c>
      <c r="F7" s="13">
        <f t="shared" si="3"/>
        <v>240.62481550025441</v>
      </c>
      <c r="G7" s="19">
        <f t="shared" si="4"/>
        <v>396.96702635650485</v>
      </c>
      <c r="H7" s="40">
        <f t="shared" si="5"/>
        <v>397</v>
      </c>
      <c r="I7" s="39">
        <f t="shared" ref="I7:I70" si="13">H6-H7</f>
        <v>78</v>
      </c>
      <c r="J7" s="39" t="str">
        <f t="shared" si="6"/>
        <v>397,</v>
      </c>
      <c r="K7" s="39">
        <f>G8*100/G7</f>
        <v>84.083007149140428</v>
      </c>
      <c r="L7" s="2">
        <f t="shared" si="7"/>
        <v>-0.37575988297495516</v>
      </c>
      <c r="M7" s="4">
        <f t="shared" si="8"/>
        <v>755.66750629722924</v>
      </c>
      <c r="N7" s="4">
        <f t="shared" ref="N7:N35" si="14">M7-M6</f>
        <v>124.0885589288082</v>
      </c>
      <c r="O7" t="e">
        <f t="shared" si="0"/>
        <v>#NUM!</v>
      </c>
      <c r="P7" s="17">
        <f>$B$12/G7</f>
        <v>755.73027501427407</v>
      </c>
      <c r="Q7" s="17">
        <f t="shared" si="9"/>
        <v>453.40050377833751</v>
      </c>
      <c r="R7" s="17">
        <f t="shared" si="10"/>
        <v>1.8891687657430731</v>
      </c>
      <c r="S7">
        <f t="shared" si="11"/>
        <v>-24625.799690646661</v>
      </c>
    </row>
    <row r="8" spans="1:20" x14ac:dyDescent="0.25">
      <c r="A8" t="s">
        <v>4</v>
      </c>
      <c r="D8" s="3">
        <f t="shared" si="12"/>
        <v>63.18521320543465</v>
      </c>
      <c r="E8">
        <v>7</v>
      </c>
      <c r="F8" s="13">
        <f t="shared" si="3"/>
        <v>217.40439975634914</v>
      </c>
      <c r="G8" s="19">
        <f t="shared" si="4"/>
        <v>333.7818131510702</v>
      </c>
      <c r="H8" s="40">
        <f t="shared" si="5"/>
        <v>334</v>
      </c>
      <c r="I8" s="39">
        <f t="shared" si="13"/>
        <v>63</v>
      </c>
      <c r="J8" s="39" t="str">
        <f t="shared" si="6"/>
        <v>334,</v>
      </c>
      <c r="K8" s="39">
        <f t="shared" ref="K8:K20" si="15">G9*100/G8</f>
        <v>86.603389650168069</v>
      </c>
      <c r="L8" s="2">
        <f t="shared" si="7"/>
        <v>-0.26263803335721003</v>
      </c>
      <c r="M8" s="4">
        <f t="shared" si="8"/>
        <v>898.20359281437129</v>
      </c>
      <c r="N8" s="4">
        <f t="shared" si="14"/>
        <v>142.53608651714205</v>
      </c>
      <c r="O8" t="e">
        <f t="shared" si="0"/>
        <v>#NUM!</v>
      </c>
      <c r="P8" s="17">
        <f>$B$12/G8</f>
        <v>898.79073148967382</v>
      </c>
      <c r="Q8" s="17">
        <f t="shared" si="9"/>
        <v>538.92215568862275</v>
      </c>
      <c r="R8" s="17">
        <f t="shared" si="10"/>
        <v>2.2455089820359282</v>
      </c>
      <c r="S8">
        <f t="shared" si="11"/>
        <v>-17212.246154098117</v>
      </c>
    </row>
    <row r="9" spans="1:20" x14ac:dyDescent="0.25">
      <c r="A9" t="s">
        <v>146</v>
      </c>
      <c r="B9">
        <f>B1+50</f>
        <v>60</v>
      </c>
      <c r="C9" t="s">
        <v>0</v>
      </c>
      <c r="D9" s="3">
        <f t="shared" si="12"/>
        <v>44.71544892645295</v>
      </c>
      <c r="E9">
        <v>8</v>
      </c>
      <c r="F9" s="13">
        <f t="shared" si="3"/>
        <v>200.27848663883174</v>
      </c>
      <c r="G9" s="19">
        <f t="shared" si="4"/>
        <v>289.06636422461725</v>
      </c>
      <c r="H9" s="40">
        <f t="shared" si="5"/>
        <v>289</v>
      </c>
      <c r="I9" s="39">
        <f t="shared" si="13"/>
        <v>45</v>
      </c>
      <c r="J9" s="39" t="str">
        <f t="shared" si="6"/>
        <v>289,</v>
      </c>
      <c r="K9" s="39">
        <f t="shared" si="15"/>
        <v>88.982675817579121</v>
      </c>
      <c r="L9" s="2">
        <f t="shared" si="7"/>
        <v>-0.18568383131735988</v>
      </c>
      <c r="M9" s="4">
        <f t="shared" si="8"/>
        <v>1038.0622837370242</v>
      </c>
      <c r="N9" s="4">
        <f t="shared" si="14"/>
        <v>139.85869092265295</v>
      </c>
      <c r="O9" t="e">
        <f t="shared" si="0"/>
        <v>#NUM!</v>
      </c>
      <c r="P9" s="17">
        <f>$B$12/G9</f>
        <v>1037.8239640738236</v>
      </c>
      <c r="Q9" s="17">
        <f t="shared" si="9"/>
        <v>622.83737024221455</v>
      </c>
      <c r="R9" s="17">
        <f t="shared" si="10"/>
        <v>2.5951557093425608</v>
      </c>
      <c r="S9">
        <f t="shared" si="11"/>
        <v>-12168.975569214497</v>
      </c>
    </row>
    <row r="10" spans="1:20" x14ac:dyDescent="0.25">
      <c r="A10" t="s">
        <v>145</v>
      </c>
      <c r="B10">
        <f>B2</f>
        <v>2000</v>
      </c>
      <c r="C10" t="s">
        <v>0</v>
      </c>
      <c r="D10" s="3">
        <f t="shared" si="12"/>
        <v>31.847378448963582</v>
      </c>
      <c r="E10">
        <v>9</v>
      </c>
      <c r="F10" s="13">
        <f t="shared" si="3"/>
        <v>186.88937838692743</v>
      </c>
      <c r="G10" s="19">
        <f t="shared" si="4"/>
        <v>257.21898577565366</v>
      </c>
      <c r="H10" s="40">
        <f t="shared" si="5"/>
        <v>257</v>
      </c>
      <c r="I10" s="39">
        <f t="shared" si="13"/>
        <v>32</v>
      </c>
      <c r="J10" s="39" t="str">
        <f t="shared" si="6"/>
        <v>257,</v>
      </c>
      <c r="K10" s="39">
        <f t="shared" si="15"/>
        <v>90.796964806775421</v>
      </c>
      <c r="L10" s="2">
        <f t="shared" si="7"/>
        <v>-0.13926560487673179</v>
      </c>
      <c r="M10" s="4">
        <f t="shared" si="8"/>
        <v>1167.3151750972763</v>
      </c>
      <c r="N10" s="4">
        <f t="shared" si="14"/>
        <v>129.25289136025208</v>
      </c>
      <c r="O10" t="e">
        <f t="shared" si="0"/>
        <v>#NUM!</v>
      </c>
      <c r="P10" s="17">
        <f>$B$12/G10</f>
        <v>1166.3213704670304</v>
      </c>
      <c r="Q10" s="17">
        <f t="shared" si="9"/>
        <v>700.38910505836577</v>
      </c>
      <c r="R10" s="17">
        <f t="shared" si="10"/>
        <v>2.918287937743191</v>
      </c>
      <c r="S10">
        <f t="shared" si="11"/>
        <v>-9126.9106812014943</v>
      </c>
    </row>
    <row r="11" spans="1:20" x14ac:dyDescent="0.25">
      <c r="A11" t="s">
        <v>5</v>
      </c>
      <c r="B11" s="7">
        <v>150000</v>
      </c>
      <c r="C11" t="s">
        <v>29</v>
      </c>
      <c r="D11" s="3">
        <f t="shared" si="12"/>
        <v>23.671953784588709</v>
      </c>
      <c r="E11">
        <v>10</v>
      </c>
      <c r="F11" s="13">
        <f t="shared" si="3"/>
        <v>176.0100369167275</v>
      </c>
      <c r="G11" s="19">
        <f t="shared" si="4"/>
        <v>233.54703199106496</v>
      </c>
      <c r="H11" s="40">
        <f t="shared" si="5"/>
        <v>234</v>
      </c>
      <c r="I11" s="39">
        <f t="shared" si="13"/>
        <v>23</v>
      </c>
      <c r="J11" s="39" t="str">
        <f t="shared" si="6"/>
        <v>234,</v>
      </c>
      <c r="K11" s="39">
        <f t="shared" si="15"/>
        <v>92.148910439534973</v>
      </c>
      <c r="L11" s="2">
        <f t="shared" si="7"/>
        <v>-0.11026934440575988</v>
      </c>
      <c r="M11" s="4">
        <f t="shared" si="8"/>
        <v>1282.051282051282</v>
      </c>
      <c r="N11" s="4">
        <f t="shared" si="14"/>
        <v>114.73610695400566</v>
      </c>
      <c r="O11" t="str">
        <f t="shared" si="0"/>
        <v>0xE98C0A49,</v>
      </c>
      <c r="P11" s="17">
        <f>$B$12/G11</f>
        <v>1284.5378399477045</v>
      </c>
      <c r="Q11" s="17">
        <f t="shared" si="9"/>
        <v>769.23076923076917</v>
      </c>
      <c r="R11" s="17">
        <f t="shared" si="10"/>
        <v>3.2051282051282048</v>
      </c>
      <c r="S11">
        <f t="shared" si="11"/>
        <v>-7226.6117549758792</v>
      </c>
    </row>
    <row r="12" spans="1:20" x14ac:dyDescent="0.25">
      <c r="A12" t="s">
        <v>6</v>
      </c>
      <c r="B12" s="6">
        <v>300000</v>
      </c>
      <c r="C12" t="s">
        <v>28</v>
      </c>
      <c r="D12" s="3">
        <f t="shared" si="12"/>
        <v>18.335986647426409</v>
      </c>
      <c r="E12">
        <v>11</v>
      </c>
      <c r="F12" s="13">
        <f t="shared" si="3"/>
        <v>166.9221889770788</v>
      </c>
      <c r="G12" s="19">
        <f t="shared" si="4"/>
        <v>215.21104534363855</v>
      </c>
      <c r="H12" s="40">
        <f t="shared" si="5"/>
        <v>215</v>
      </c>
      <c r="I12" s="39">
        <f t="shared" si="13"/>
        <v>19</v>
      </c>
      <c r="J12" s="39" t="str">
        <f t="shared" si="6"/>
        <v>215,</v>
      </c>
      <c r="K12" s="39">
        <f t="shared" si="15"/>
        <v>93.174514650916947</v>
      </c>
      <c r="L12" s="2">
        <f t="shared" si="7"/>
        <v>-9.0907026919725867E-2</v>
      </c>
      <c r="M12" s="4">
        <f t="shared" si="8"/>
        <v>1395.3488372093022</v>
      </c>
      <c r="N12" s="4">
        <f t="shared" si="14"/>
        <v>113.29755515802026</v>
      </c>
      <c r="O12" t="str">
        <f t="shared" si="0"/>
        <v>0xD7360711,</v>
      </c>
      <c r="P12" s="17">
        <f>$B$12/G12</f>
        <v>1393.9804972415545</v>
      </c>
      <c r="Q12" s="17">
        <f t="shared" si="9"/>
        <v>837.20930232558135</v>
      </c>
      <c r="R12" s="17">
        <f t="shared" si="10"/>
        <v>3.4883720930232558</v>
      </c>
      <c r="S12">
        <f t="shared" si="11"/>
        <v>-5957.6829162111544</v>
      </c>
    </row>
    <row r="13" spans="1:20" x14ac:dyDescent="0.25">
      <c r="A13" t="s">
        <v>7</v>
      </c>
      <c r="D13" s="3">
        <f t="shared" si="12"/>
        <v>14.689198369538531</v>
      </c>
      <c r="E13">
        <v>12</v>
      </c>
      <c r="F13" s="13">
        <f t="shared" si="3"/>
        <v>159.17059594706825</v>
      </c>
      <c r="G13" s="19">
        <f t="shared" si="4"/>
        <v>200.52184697410001</v>
      </c>
      <c r="H13" s="40">
        <f t="shared" si="5"/>
        <v>201</v>
      </c>
      <c r="I13" s="39">
        <f t="shared" si="13"/>
        <v>14</v>
      </c>
      <c r="J13" s="39" t="str">
        <f t="shared" si="6"/>
        <v>201,</v>
      </c>
      <c r="K13" s="39">
        <f t="shared" si="15"/>
        <v>93.972150053831811</v>
      </c>
      <c r="L13" s="2">
        <f t="shared" si="7"/>
        <v>-7.7192990063169417E-2</v>
      </c>
      <c r="M13" s="4">
        <f t="shared" si="8"/>
        <v>1492.5373134328358</v>
      </c>
      <c r="N13" s="4">
        <f t="shared" si="14"/>
        <v>97.188476223533598</v>
      </c>
      <c r="O13" t="str">
        <f t="shared" si="0"/>
        <v>0xC88597C3,</v>
      </c>
      <c r="P13" s="17">
        <f>$B$12/G13</f>
        <v>1496.0963332775848</v>
      </c>
      <c r="Q13" s="17">
        <f t="shared" si="9"/>
        <v>895.52238805970148</v>
      </c>
      <c r="R13" s="17">
        <f t="shared" si="10"/>
        <v>3.7313432835820897</v>
      </c>
      <c r="S13">
        <f t="shared" si="11"/>
        <v>-5058.9197967798709</v>
      </c>
    </row>
    <row r="14" spans="1:20" x14ac:dyDescent="0.25">
      <c r="A14" t="s">
        <v>8</v>
      </c>
      <c r="D14" s="3">
        <f t="shared" si="12"/>
        <v>12.087156044883756</v>
      </c>
      <c r="E14">
        <v>13</v>
      </c>
      <c r="F14" s="13">
        <f t="shared" si="3"/>
        <v>152.4495436212375</v>
      </c>
      <c r="G14" s="19">
        <f t="shared" si="4"/>
        <v>188.43469092921626</v>
      </c>
      <c r="H14" s="40">
        <f t="shared" si="5"/>
        <v>188</v>
      </c>
      <c r="I14" s="39">
        <f t="shared" si="13"/>
        <v>13</v>
      </c>
      <c r="J14" s="39" t="str">
        <f t="shared" si="6"/>
        <v>188,</v>
      </c>
      <c r="K14" s="39">
        <f t="shared" si="15"/>
        <v>94.607391202066637</v>
      </c>
      <c r="L14" s="2">
        <f t="shared" si="7"/>
        <v>-6.7015018523173972E-2</v>
      </c>
      <c r="M14" s="4">
        <f t="shared" si="8"/>
        <v>1595.7446808510638</v>
      </c>
      <c r="N14" s="4">
        <f t="shared" si="14"/>
        <v>103.20736741822793</v>
      </c>
      <c r="O14" t="str">
        <f t="shared" si="0"/>
        <v>0xBC6F47E7,</v>
      </c>
      <c r="P14" s="17">
        <f>$B$12/G14</f>
        <v>1592.0635341646948</v>
      </c>
      <c r="Q14" s="17">
        <f t="shared" si="9"/>
        <v>957.44680851063822</v>
      </c>
      <c r="R14" s="17">
        <f t="shared" si="10"/>
        <v>3.9893617021276593</v>
      </c>
      <c r="S14">
        <f t="shared" si="11"/>
        <v>-4391.8962539347294</v>
      </c>
    </row>
    <row r="15" spans="1:20" x14ac:dyDescent="0.25">
      <c r="A15" t="s">
        <v>21</v>
      </c>
      <c r="B15" s="4">
        <f>(B10*B10-B9*B9)/(2*B11)</f>
        <v>13.321333333333333</v>
      </c>
      <c r="D15" s="3">
        <f t="shared" si="12"/>
        <v>10.161545721407464</v>
      </c>
      <c r="E15">
        <v>14</v>
      </c>
      <c r="F15" s="13">
        <f t="shared" si="3"/>
        <v>146.54444526937019</v>
      </c>
      <c r="G15" s="19">
        <f t="shared" si="4"/>
        <v>178.2731452078088</v>
      </c>
      <c r="H15" s="40">
        <f t="shared" si="5"/>
        <v>178</v>
      </c>
      <c r="I15" s="39">
        <f t="shared" si="13"/>
        <v>10</v>
      </c>
      <c r="J15" s="39" t="str">
        <f t="shared" si="6"/>
        <v>178,</v>
      </c>
      <c r="K15" s="39">
        <f t="shared" si="15"/>
        <v>95.1239692574445</v>
      </c>
      <c r="L15" s="2">
        <f t="shared" si="7"/>
        <v>-5.9179387909315428E-2</v>
      </c>
      <c r="M15" s="4">
        <f t="shared" si="8"/>
        <v>1685.3932584269662</v>
      </c>
      <c r="N15" s="4">
        <f t="shared" si="14"/>
        <v>89.648577575902436</v>
      </c>
      <c r="O15" t="str">
        <f t="shared" si="0"/>
        <v>0xB245ECD8,</v>
      </c>
      <c r="P15" s="17">
        <f>$B$12/G15</f>
        <v>1682.8109452508793</v>
      </c>
      <c r="Q15" s="17">
        <f t="shared" si="9"/>
        <v>1011.2359550561797</v>
      </c>
      <c r="R15" s="17">
        <f t="shared" si="10"/>
        <v>4.2134831460674151</v>
      </c>
      <c r="S15">
        <f t="shared" si="11"/>
        <v>-3878.3803660248959</v>
      </c>
    </row>
    <row r="16" spans="1:20" x14ac:dyDescent="0.25">
      <c r="A16" t="s">
        <v>147</v>
      </c>
      <c r="D16" s="3">
        <f t="shared" si="12"/>
        <v>8.6926533660533778</v>
      </c>
      <c r="E16">
        <v>15</v>
      </c>
      <c r="F16" s="13">
        <f t="shared" si="3"/>
        <v>141.29930830317721</v>
      </c>
      <c r="G16" s="19">
        <f t="shared" si="4"/>
        <v>169.58049184175542</v>
      </c>
      <c r="H16" s="40">
        <f t="shared" si="5"/>
        <v>170</v>
      </c>
      <c r="I16" s="39">
        <f t="shared" si="13"/>
        <v>8</v>
      </c>
      <c r="J16" s="39" t="str">
        <f t="shared" si="6"/>
        <v>170,</v>
      </c>
      <c r="K16" s="39">
        <f t="shared" si="15"/>
        <v>95.551657919311538</v>
      </c>
      <c r="L16" s="2">
        <f t="shared" si="7"/>
        <v>-5.2968857170474136E-2</v>
      </c>
      <c r="M16" s="4">
        <f t="shared" si="8"/>
        <v>1764.7058823529412</v>
      </c>
      <c r="N16" s="4">
        <f t="shared" si="14"/>
        <v>79.312623925975004</v>
      </c>
      <c r="O16" t="str">
        <f t="shared" si="0"/>
        <v>0xA9949B1D,</v>
      </c>
      <c r="P16" s="17">
        <f>$B$12/G16</f>
        <v>1769.0714111145871</v>
      </c>
      <c r="Q16" s="17">
        <f t="shared" si="9"/>
        <v>1058.8235294117649</v>
      </c>
      <c r="R16" s="17">
        <f t="shared" si="10"/>
        <v>4.4117647058823533</v>
      </c>
      <c r="S16">
        <f t="shared" si="11"/>
        <v>-3471.367023524193</v>
      </c>
    </row>
    <row r="17" spans="1:19" x14ac:dyDescent="0.25">
      <c r="A17" t="s">
        <v>22</v>
      </c>
      <c r="B17" s="3">
        <f>B12/SQRT(B9*B9+2*B11)</f>
        <v>544.46550648047082</v>
      </c>
      <c r="D17" s="3">
        <f t="shared" si="12"/>
        <v>7.5435203792352752</v>
      </c>
      <c r="E17">
        <v>16</v>
      </c>
      <c r="F17" s="13">
        <f t="shared" si="3"/>
        <v>136.59745735886088</v>
      </c>
      <c r="G17" s="19">
        <f t="shared" si="4"/>
        <v>162.03697146252014</v>
      </c>
      <c r="H17" s="40">
        <f t="shared" si="5"/>
        <v>162</v>
      </c>
      <c r="I17" s="39">
        <f t="shared" si="13"/>
        <v>8</v>
      </c>
      <c r="J17" s="39" t="str">
        <f t="shared" si="6"/>
        <v>162,</v>
      </c>
      <c r="K17" s="39">
        <f t="shared" si="15"/>
        <v>95.91124351825114</v>
      </c>
      <c r="L17" s="2">
        <f t="shared" si="7"/>
        <v>-4.7929238688819459E-2</v>
      </c>
      <c r="M17" s="4">
        <f t="shared" si="8"/>
        <v>1851.851851851852</v>
      </c>
      <c r="N17" s="4">
        <f t="shared" si="14"/>
        <v>87.145969498910745</v>
      </c>
      <c r="O17" t="str">
        <f t="shared" si="0"/>
        <v>0xA20976F6,</v>
      </c>
      <c r="P17" s="17">
        <f>$B$12/G17</f>
        <v>1851.4293206806283</v>
      </c>
      <c r="Q17" s="17">
        <f t="shared" si="9"/>
        <v>1111.1111111111113</v>
      </c>
      <c r="R17" s="17">
        <f t="shared" si="10"/>
        <v>4.6296296296296298</v>
      </c>
      <c r="S17">
        <f t="shared" si="11"/>
        <v>-3141.0905867104721</v>
      </c>
    </row>
    <row r="18" spans="1:19" x14ac:dyDescent="0.25">
      <c r="D18" s="3">
        <f t="shared" si="12"/>
        <v>6.625297173503327</v>
      </c>
      <c r="E18">
        <v>17</v>
      </c>
      <c r="F18" s="13">
        <f t="shared" si="3"/>
        <v>132.34953475060311</v>
      </c>
      <c r="G18" s="19">
        <f t="shared" si="4"/>
        <v>155.41167428901682</v>
      </c>
      <c r="H18" s="40">
        <f t="shared" si="5"/>
        <v>155</v>
      </c>
      <c r="I18" s="39">
        <f t="shared" si="13"/>
        <v>7</v>
      </c>
      <c r="J18" s="39" t="str">
        <f t="shared" si="6"/>
        <v>155,</v>
      </c>
      <c r="K18" s="39">
        <f t="shared" si="15"/>
        <v>96.21760074602345</v>
      </c>
      <c r="L18" s="2">
        <f t="shared" si="7"/>
        <v>-4.3759966867909277E-2</v>
      </c>
      <c r="M18" s="4">
        <f t="shared" si="8"/>
        <v>1935.483870967742</v>
      </c>
      <c r="N18" s="4">
        <f t="shared" si="14"/>
        <v>83.632019115889989</v>
      </c>
      <c r="O18" t="str">
        <f t="shared" si="0"/>
        <v>0x9B69637C,</v>
      </c>
      <c r="P18" s="17">
        <f>$B$12/G18</f>
        <v>1930.3569141279206</v>
      </c>
      <c r="Q18" s="17">
        <f t="shared" si="9"/>
        <v>1161.2903225806451</v>
      </c>
      <c r="R18" s="17">
        <f t="shared" si="10"/>
        <v>4.838709677419355</v>
      </c>
      <c r="S18">
        <f t="shared" si="11"/>
        <v>-2867.8531886553023</v>
      </c>
    </row>
    <row r="19" spans="1:19" x14ac:dyDescent="0.25">
      <c r="A19" t="s">
        <v>9</v>
      </c>
      <c r="D19" s="3">
        <f t="shared" si="12"/>
        <v>5.8782900089002226</v>
      </c>
      <c r="E19">
        <v>18</v>
      </c>
      <c r="F19" s="13">
        <f t="shared" si="3"/>
        <v>128.48572257675917</v>
      </c>
      <c r="G19" s="19">
        <f t="shared" si="4"/>
        <v>149.53338428011659</v>
      </c>
      <c r="H19" s="40">
        <f t="shared" si="5"/>
        <v>150</v>
      </c>
      <c r="I19" s="39">
        <f t="shared" si="13"/>
        <v>5</v>
      </c>
      <c r="J19" s="39" t="str">
        <f t="shared" si="6"/>
        <v>150,</v>
      </c>
      <c r="K19" s="39">
        <f t="shared" si="15"/>
        <v>96.481619506144256</v>
      </c>
      <c r="L19" s="2">
        <f t="shared" si="7"/>
        <v>-4.0254647508859084E-2</v>
      </c>
      <c r="M19" s="4">
        <f t="shared" si="8"/>
        <v>2000</v>
      </c>
      <c r="N19" s="4">
        <f t="shared" si="14"/>
        <v>64.51612903225805</v>
      </c>
      <c r="O19" t="str">
        <f t="shared" si="0"/>
        <v>0x95888BDF,</v>
      </c>
      <c r="P19" s="17">
        <f>$B$12/G19</f>
        <v>2006.2409571231171</v>
      </c>
      <c r="Q19" s="17">
        <f t="shared" si="9"/>
        <v>1200</v>
      </c>
      <c r="R19" s="17">
        <f t="shared" si="10"/>
        <v>5</v>
      </c>
      <c r="S19">
        <f t="shared" si="11"/>
        <v>-2638.128579140589</v>
      </c>
    </row>
    <row r="20" spans="1:19" x14ac:dyDescent="0.25">
      <c r="A20" t="s">
        <v>27</v>
      </c>
      <c r="B20" s="3">
        <f>B12/B10</f>
        <v>150</v>
      </c>
      <c r="D20" s="3">
        <f t="shared" si="12"/>
        <v>5.2611534243139602</v>
      </c>
      <c r="E20">
        <v>19</v>
      </c>
      <c r="F20" s="13">
        <f t="shared" si="3"/>
        <v>124.95052766603661</v>
      </c>
      <c r="G20" s="19">
        <f t="shared" si="4"/>
        <v>144.27223085580263</v>
      </c>
      <c r="H20" s="40">
        <f t="shared" si="5"/>
        <v>144</v>
      </c>
      <c r="I20" s="39">
        <f t="shared" si="13"/>
        <v>6</v>
      </c>
      <c r="J20" s="39" t="str">
        <f t="shared" si="6"/>
        <v>144,</v>
      </c>
      <c r="K20" s="39">
        <f t="shared" si="15"/>
        <v>96.711438248969159</v>
      </c>
      <c r="L20" s="2">
        <f t="shared" si="7"/>
        <v>-3.7267055023775031E-2</v>
      </c>
      <c r="M20" s="4">
        <f t="shared" si="8"/>
        <v>2083.3333333333335</v>
      </c>
      <c r="N20" s="4">
        <f t="shared" si="14"/>
        <v>83.333333333333485</v>
      </c>
      <c r="O20" t="str">
        <f t="shared" si="0"/>
        <v>0x9045B0EB,</v>
      </c>
      <c r="P20" s="17">
        <f>$B$12/G20</f>
        <v>2079.4022399213077</v>
      </c>
      <c r="Q20" s="17">
        <f t="shared" si="9"/>
        <v>1250.0000000000002</v>
      </c>
      <c r="R20" s="17">
        <f t="shared" si="10"/>
        <v>5.2083333333333339</v>
      </c>
      <c r="S20">
        <f t="shared" si="11"/>
        <v>-2442.3337180381204</v>
      </c>
    </row>
    <row r="21" spans="1:19" x14ac:dyDescent="0.25">
      <c r="A21" t="s">
        <v>10</v>
      </c>
      <c r="D21" s="3">
        <f t="shared" si="12"/>
        <v>4.744481401282826</v>
      </c>
      <c r="E21">
        <v>20</v>
      </c>
      <c r="F21" s="13">
        <f t="shared" si="3"/>
        <v>121.69918282930107</v>
      </c>
      <c r="G21" s="19">
        <f t="shared" si="4"/>
        <v>139.52774945451981</v>
      </c>
      <c r="H21" s="40">
        <f t="shared" si="5"/>
        <v>140</v>
      </c>
      <c r="I21" s="39">
        <f t="shared" si="13"/>
        <v>4</v>
      </c>
      <c r="J21" s="39" t="str">
        <f t="shared" si="6"/>
        <v>140,</v>
      </c>
      <c r="K21" s="39">
        <f t="shared" ref="K8:K21" si="16">I22*100/I21</f>
        <v>125</v>
      </c>
      <c r="L21" s="2">
        <f t="shared" si="7"/>
        <v>-3.4690794326850016E-2</v>
      </c>
      <c r="M21" s="4">
        <f t="shared" si="8"/>
        <v>2142.8571428571427</v>
      </c>
      <c r="N21" s="4">
        <f t="shared" si="14"/>
        <v>59.523809523809177</v>
      </c>
      <c r="O21" t="str">
        <f t="shared" si="0"/>
        <v>0x8B871A96,</v>
      </c>
      <c r="P21" s="17">
        <f>$B$12/G21</f>
        <v>2150.1099327756838</v>
      </c>
      <c r="Q21" s="17">
        <f t="shared" si="9"/>
        <v>1285.7142857142856</v>
      </c>
      <c r="R21" s="17">
        <f t="shared" si="10"/>
        <v>5.3571428571428568</v>
      </c>
      <c r="S21">
        <f t="shared" si="11"/>
        <v>-2273.4958970044427</v>
      </c>
    </row>
    <row r="22" spans="1:19" x14ac:dyDescent="0.25">
      <c r="A22" t="s">
        <v>23</v>
      </c>
      <c r="B22" s="37">
        <f>B11/(B12*B12)</f>
        <v>1.6666666666666667E-6</v>
      </c>
      <c r="D22" s="3">
        <f t="shared" si="12"/>
        <v>4.3068695511252884</v>
      </c>
      <c r="E22">
        <v>21</v>
      </c>
      <c r="F22" s="13">
        <f t="shared" si="3"/>
        <v>118.69510115568805</v>
      </c>
      <c r="G22" s="19">
        <f t="shared" si="4"/>
        <v>135.22087990339452</v>
      </c>
      <c r="H22" s="40">
        <f t="shared" si="5"/>
        <v>135</v>
      </c>
      <c r="I22" s="39">
        <f t="shared" si="13"/>
        <v>5</v>
      </c>
      <c r="J22" s="39" t="str">
        <f t="shared" si="6"/>
        <v>135,</v>
      </c>
      <c r="K22" s="39"/>
      <c r="L22" s="2">
        <f t="shared" si="7"/>
        <v>-3.2446654779738751E-2</v>
      </c>
      <c r="M22" s="4">
        <f t="shared" si="8"/>
        <v>2222.2222222222222</v>
      </c>
      <c r="N22" s="4">
        <f t="shared" si="14"/>
        <v>79.365079365079509</v>
      </c>
      <c r="O22" t="str">
        <f t="shared" si="0"/>
        <v>0x87388B95,</v>
      </c>
      <c r="P22" s="17">
        <f>$B$12/G22</f>
        <v>2218.5922781624272</v>
      </c>
      <c r="Q22" s="17">
        <f t="shared" si="9"/>
        <v>1333.3333333333335</v>
      </c>
      <c r="R22" s="17">
        <f t="shared" si="10"/>
        <v>5.5555555555555554</v>
      </c>
      <c r="S22">
        <f t="shared" si="11"/>
        <v>-2126.4239676449588</v>
      </c>
    </row>
    <row r="23" spans="1:19" x14ac:dyDescent="0.25">
      <c r="A23" t="s">
        <v>11</v>
      </c>
      <c r="D23" s="3">
        <f t="shared" si="12"/>
        <v>3.9324174489425729</v>
      </c>
      <c r="E23">
        <v>22</v>
      </c>
      <c r="F23" s="13">
        <f t="shared" si="3"/>
        <v>115.90803591910027</v>
      </c>
      <c r="G23" s="19">
        <f t="shared" si="4"/>
        <v>131.28846245445195</v>
      </c>
      <c r="H23" s="40">
        <f t="shared" si="5"/>
        <v>131</v>
      </c>
      <c r="I23" s="39">
        <f t="shared" si="13"/>
        <v>4</v>
      </c>
      <c r="J23" s="39" t="str">
        <f t="shared" si="6"/>
        <v>131,</v>
      </c>
      <c r="K23" s="39"/>
      <c r="L23" s="2">
        <f t="shared" si="7"/>
        <v>-3.0474477269747072E-2</v>
      </c>
      <c r="M23" s="4">
        <f t="shared" si="8"/>
        <v>2290.0763358778627</v>
      </c>
      <c r="N23" s="4">
        <f t="shared" si="14"/>
        <v>67.854113655640504</v>
      </c>
      <c r="O23" t="str">
        <f t="shared" si="0"/>
        <v>0x8349D8AC,</v>
      </c>
      <c r="P23" s="17">
        <f>$B$12/G23</f>
        <v>2285.0446596103548</v>
      </c>
      <c r="Q23" s="17">
        <f t="shared" si="9"/>
        <v>1374.0458015267175</v>
      </c>
      <c r="R23" s="17">
        <f t="shared" si="10"/>
        <v>5.7251908396946565</v>
      </c>
      <c r="S23">
        <f t="shared" si="11"/>
        <v>-1997.1753423501441</v>
      </c>
    </row>
    <row r="24" spans="1:19" x14ac:dyDescent="0.25">
      <c r="A24" t="s">
        <v>12</v>
      </c>
      <c r="D24" s="3">
        <f t="shared" si="12"/>
        <v>3.6090988751998481</v>
      </c>
      <c r="E24">
        <v>23</v>
      </c>
      <c r="F24" s="13">
        <f t="shared" si="3"/>
        <v>113.3127250251387</v>
      </c>
      <c r="G24" s="19">
        <f t="shared" si="4"/>
        <v>127.6793635792521</v>
      </c>
      <c r="H24" s="40">
        <f t="shared" si="5"/>
        <v>128</v>
      </c>
      <c r="I24" s="39">
        <f t="shared" si="13"/>
        <v>3</v>
      </c>
      <c r="J24" s="39" t="str">
        <f t="shared" si="6"/>
        <v>128,</v>
      </c>
      <c r="K24" s="39"/>
      <c r="L24" s="2">
        <f t="shared" si="7"/>
        <v>-2.87277672894234E-2</v>
      </c>
      <c r="M24" s="4">
        <f t="shared" si="8"/>
        <v>2343.75</v>
      </c>
      <c r="N24" s="4">
        <f t="shared" si="14"/>
        <v>53.673664122137325</v>
      </c>
      <c r="O24" t="str">
        <f t="shared" si="0"/>
        <v>0x7FADEAC5,</v>
      </c>
      <c r="P24" s="17">
        <f>$B$12/G24</f>
        <v>2349.6357719059779</v>
      </c>
      <c r="Q24" s="17">
        <f t="shared" si="9"/>
        <v>1406.25</v>
      </c>
      <c r="R24" s="17">
        <f t="shared" si="10"/>
        <v>5.859375</v>
      </c>
      <c r="S24">
        <f t="shared" si="11"/>
        <v>-1882.7029570796519</v>
      </c>
    </row>
    <row r="25" spans="1:19" x14ac:dyDescent="0.25">
      <c r="A25" t="s">
        <v>24</v>
      </c>
      <c r="D25" s="3">
        <f t="shared" si="12"/>
        <v>3.3276711310391391</v>
      </c>
      <c r="E25">
        <v>24</v>
      </c>
      <c r="F25" s="13">
        <f t="shared" si="3"/>
        <v>110.88787545633095</v>
      </c>
      <c r="G25" s="19">
        <f t="shared" si="4"/>
        <v>124.35169244821296</v>
      </c>
      <c r="H25" s="40">
        <f t="shared" si="5"/>
        <v>124</v>
      </c>
      <c r="I25" s="39">
        <f t="shared" si="13"/>
        <v>4</v>
      </c>
      <c r="J25" s="39" t="str">
        <f t="shared" si="6"/>
        <v>124,</v>
      </c>
      <c r="K25" s="39"/>
      <c r="L25" s="2">
        <f t="shared" si="7"/>
        <v>-2.7170033140004744E-2</v>
      </c>
      <c r="M25" s="4">
        <f t="shared" si="8"/>
        <v>2419.3548387096776</v>
      </c>
      <c r="N25" s="4">
        <f t="shared" si="14"/>
        <v>75.604838709677551</v>
      </c>
      <c r="O25" t="str">
        <f t="shared" si="0"/>
        <v>0x7C5A0884,</v>
      </c>
      <c r="P25" s="17">
        <f>$B$12/G25</f>
        <v>2412.5124000619203</v>
      </c>
      <c r="Q25" s="17">
        <f t="shared" si="9"/>
        <v>1451.6129032258066</v>
      </c>
      <c r="R25" s="17">
        <f t="shared" si="10"/>
        <v>6.0483870967741939</v>
      </c>
      <c r="S25">
        <f t="shared" si="11"/>
        <v>-1780.6152918633509</v>
      </c>
    </row>
    <row r="26" spans="1:19" x14ac:dyDescent="0.25">
      <c r="A26" t="s">
        <v>13</v>
      </c>
      <c r="D26" s="3">
        <f t="shared" si="12"/>
        <v>3.080928400709638</v>
      </c>
      <c r="E26">
        <v>25</v>
      </c>
      <c r="F26" s="13">
        <f t="shared" si="3"/>
        <v>108.61539091378116</v>
      </c>
      <c r="G26" s="19">
        <f t="shared" si="4"/>
        <v>121.27076404750332</v>
      </c>
      <c r="H26" s="40">
        <f t="shared" si="5"/>
        <v>121</v>
      </c>
      <c r="I26" s="39">
        <f t="shared" si="13"/>
        <v>3</v>
      </c>
      <c r="J26" s="39" t="str">
        <f t="shared" si="6"/>
        <v>121,</v>
      </c>
      <c r="K26" s="39"/>
      <c r="L26" s="2">
        <f t="shared" si="7"/>
        <v>-2.577223902455824E-2</v>
      </c>
      <c r="M26" s="4">
        <f t="shared" si="8"/>
        <v>2479.3388429752067</v>
      </c>
      <c r="N26" s="4">
        <f t="shared" si="14"/>
        <v>59.984004265529165</v>
      </c>
      <c r="O26" t="str">
        <f t="shared" si="0"/>
        <v>0x794550CA,</v>
      </c>
      <c r="P26" s="17">
        <f>$B$12/G26</f>
        <v>2473.8031656375656</v>
      </c>
      <c r="Q26" s="17">
        <f t="shared" si="9"/>
        <v>1487.6033057851239</v>
      </c>
      <c r="R26" s="17">
        <f t="shared" si="10"/>
        <v>6.1983471074380168</v>
      </c>
      <c r="S26">
        <f t="shared" si="11"/>
        <v>-1689.0094567134488</v>
      </c>
    </row>
    <row r="27" spans="1:19" x14ac:dyDescent="0.25">
      <c r="A27" t="s">
        <v>14</v>
      </c>
      <c r="D27" s="3">
        <f t="shared" si="12"/>
        <v>2.8631801292772678</v>
      </c>
      <c r="E27">
        <v>26</v>
      </c>
      <c r="F27" s="13">
        <f t="shared" si="3"/>
        <v>106.47977642604162</v>
      </c>
      <c r="G27" s="19">
        <f t="shared" si="4"/>
        <v>118.40758391822605</v>
      </c>
      <c r="H27" s="40">
        <f t="shared" si="5"/>
        <v>118</v>
      </c>
      <c r="I27" s="39">
        <f t="shared" si="13"/>
        <v>3</v>
      </c>
      <c r="J27" s="39" t="str">
        <f t="shared" si="6"/>
        <v>118,</v>
      </c>
      <c r="K27" s="39"/>
      <c r="L27" s="2">
        <f t="shared" si="7"/>
        <v>-2.4510997021108705E-2</v>
      </c>
      <c r="M27" s="4">
        <f t="shared" si="8"/>
        <v>2542.3728813559323</v>
      </c>
      <c r="N27" s="4">
        <f t="shared" si="14"/>
        <v>63.034038380725633</v>
      </c>
      <c r="O27" t="str">
        <f t="shared" si="0"/>
        <v>0x7668576B,</v>
      </c>
      <c r="P27" s="17">
        <f>$B$12/G27</f>
        <v>2533.6214968053418</v>
      </c>
      <c r="Q27" s="17">
        <f t="shared" si="9"/>
        <v>1525.4237288135594</v>
      </c>
      <c r="R27" s="17">
        <f t="shared" si="10"/>
        <v>6.3559322033898304</v>
      </c>
      <c r="S27">
        <f t="shared" si="11"/>
        <v>-1606.3527007753801</v>
      </c>
    </row>
    <row r="28" spans="1:19" x14ac:dyDescent="0.25">
      <c r="A28" t="s">
        <v>15</v>
      </c>
      <c r="D28" s="3">
        <f t="shared" si="12"/>
        <v>2.6698798528995269</v>
      </c>
      <c r="E28">
        <v>27</v>
      </c>
      <c r="F28" s="13">
        <f t="shared" si="3"/>
        <v>104.46767373742532</v>
      </c>
      <c r="G28" s="19">
        <f t="shared" si="4"/>
        <v>115.73770406532653</v>
      </c>
      <c r="H28" s="40">
        <f t="shared" si="5"/>
        <v>116</v>
      </c>
      <c r="I28" s="39">
        <f t="shared" si="13"/>
        <v>2</v>
      </c>
      <c r="J28" s="39" t="str">
        <f t="shared" si="6"/>
        <v>116,</v>
      </c>
      <c r="K28" s="39"/>
      <c r="L28" s="2">
        <f t="shared" si="7"/>
        <v>-2.3367259882252907E-2</v>
      </c>
      <c r="M28" s="4">
        <f t="shared" si="8"/>
        <v>2586.2068965517242</v>
      </c>
      <c r="N28" s="4">
        <f t="shared" si="14"/>
        <v>43.834015195791835</v>
      </c>
      <c r="O28" t="str">
        <f t="shared" si="0"/>
        <v>0x73BCDA2C,</v>
      </c>
      <c r="P28" s="17">
        <f>$B$12/G28</f>
        <v>2592.0680077658117</v>
      </c>
      <c r="Q28" s="17">
        <f t="shared" si="9"/>
        <v>1551.7241379310344</v>
      </c>
      <c r="R28" s="17">
        <f t="shared" si="10"/>
        <v>6.4655172413793105</v>
      </c>
      <c r="S28">
        <f t="shared" si="11"/>
        <v>-1531.3967436433265</v>
      </c>
    </row>
    <row r="29" spans="1:19" x14ac:dyDescent="0.25">
      <c r="A29" s="1" t="s">
        <v>16</v>
      </c>
      <c r="D29" s="3">
        <f t="shared" si="12"/>
        <v>2.4973566597745247</v>
      </c>
      <c r="E29">
        <v>28</v>
      </c>
      <c r="F29" s="13">
        <f t="shared" si="3"/>
        <v>102.56749470415352</v>
      </c>
      <c r="G29" s="19">
        <f t="shared" si="4"/>
        <v>113.240347405552</v>
      </c>
      <c r="H29" s="40">
        <f t="shared" si="5"/>
        <v>113</v>
      </c>
      <c r="I29" s="39">
        <f t="shared" si="13"/>
        <v>3</v>
      </c>
      <c r="J29" s="39" t="str">
        <f t="shared" si="6"/>
        <v>113,</v>
      </c>
      <c r="K29" s="39"/>
      <c r="L29" s="2">
        <f t="shared" si="7"/>
        <v>-2.23253602371885E-2</v>
      </c>
      <c r="M29" s="4">
        <f t="shared" si="8"/>
        <v>2654.8672566371683</v>
      </c>
      <c r="N29" s="4">
        <f t="shared" si="14"/>
        <v>68.660360085444154</v>
      </c>
      <c r="O29" t="str">
        <f t="shared" si="0"/>
        <v>0x713D8768,</v>
      </c>
      <c r="P29" s="17">
        <f>$B$12/G29</f>
        <v>2649.2324235424544</v>
      </c>
      <c r="Q29" s="17">
        <f t="shared" si="9"/>
        <v>1592.9203539823011</v>
      </c>
      <c r="R29" s="17">
        <f t="shared" si="10"/>
        <v>6.6371681415929205</v>
      </c>
      <c r="S29">
        <f t="shared" si="11"/>
        <v>-1463.1148085043856</v>
      </c>
    </row>
    <row r="30" spans="1:19" x14ac:dyDescent="0.25">
      <c r="A30" t="s">
        <v>17</v>
      </c>
      <c r="D30" s="3">
        <f t="shared" si="12"/>
        <v>2.342617945135359</v>
      </c>
      <c r="E30">
        <v>29</v>
      </c>
      <c r="F30" s="13">
        <f t="shared" si="3"/>
        <v>100.76912907941843</v>
      </c>
      <c r="G30" s="19">
        <f t="shared" si="4"/>
        <v>110.89772946041664</v>
      </c>
      <c r="H30" s="40">
        <f t="shared" si="5"/>
        <v>111</v>
      </c>
      <c r="I30" s="39">
        <f t="shared" si="13"/>
        <v>2</v>
      </c>
      <c r="J30" s="39" t="str">
        <f t="shared" si="6"/>
        <v>111,</v>
      </c>
      <c r="K30" s="39"/>
      <c r="L30" s="2">
        <f t="shared" si="7"/>
        <v>-2.1372293800883513E-2</v>
      </c>
      <c r="M30" s="4">
        <f t="shared" si="8"/>
        <v>2702.7027027027025</v>
      </c>
      <c r="N30" s="4">
        <f t="shared" si="14"/>
        <v>47.835446065534143</v>
      </c>
      <c r="O30" t="str">
        <f t="shared" si="0"/>
        <v>0x6EE5D199,</v>
      </c>
      <c r="P30" s="17">
        <f>$B$12/G30</f>
        <v>2705.1951510610565</v>
      </c>
      <c r="Q30" s="17">
        <f t="shared" si="9"/>
        <v>1621.6216216216217</v>
      </c>
      <c r="R30" s="17">
        <f t="shared" si="10"/>
        <v>6.7567567567567561</v>
      </c>
      <c r="S30">
        <f t="shared" si="11"/>
        <v>-1400.6546465347019</v>
      </c>
    </row>
    <row r="31" spans="1:19" x14ac:dyDescent="0.25">
      <c r="A31" t="s">
        <v>18</v>
      </c>
      <c r="D31" s="3">
        <f t="shared" si="12"/>
        <v>2.2032025201697252</v>
      </c>
      <c r="E31">
        <v>30</v>
      </c>
      <c r="F31" s="13">
        <f t="shared" si="3"/>
        <v>99.063709420701045</v>
      </c>
      <c r="G31" s="19">
        <f t="shared" si="4"/>
        <v>108.69452694024692</v>
      </c>
      <c r="H31" s="40">
        <f t="shared" si="5"/>
        <v>109</v>
      </c>
      <c r="I31" s="39">
        <f t="shared" si="13"/>
        <v>2</v>
      </c>
      <c r="J31" s="39" t="str">
        <f t="shared" si="6"/>
        <v>109,</v>
      </c>
      <c r="K31" s="39"/>
      <c r="L31" s="2">
        <f t="shared" si="7"/>
        <v>-2.04971773324596E-2</v>
      </c>
      <c r="M31" s="4">
        <f t="shared" si="8"/>
        <v>2752.2935779816512</v>
      </c>
      <c r="N31" s="4">
        <f t="shared" si="14"/>
        <v>49.590875278948715</v>
      </c>
      <c r="O31" t="str">
        <f t="shared" si="0"/>
        <v>0x6CB1CC84,</v>
      </c>
      <c r="P31" s="17">
        <f>$B$12/G31</f>
        <v>2760.0285722290341</v>
      </c>
      <c r="Q31" s="17">
        <f t="shared" si="9"/>
        <v>1651.3761467889906</v>
      </c>
      <c r="R31" s="17">
        <f t="shared" si="10"/>
        <v>6.8807339449541276</v>
      </c>
      <c r="S31">
        <f t="shared" si="11"/>
        <v>-1343.3030136600723</v>
      </c>
    </row>
    <row r="32" spans="1:19" x14ac:dyDescent="0.25">
      <c r="A32" t="s">
        <v>19</v>
      </c>
      <c r="D32" s="3">
        <f t="shared" si="12"/>
        <v>2.0770698291805587</v>
      </c>
      <c r="E32">
        <v>31</v>
      </c>
      <c r="F32" s="13">
        <f t="shared" si="3"/>
        <v>97.44342033095792</v>
      </c>
      <c r="G32" s="19">
        <f t="shared" si="4"/>
        <v>106.61745711106636</v>
      </c>
      <c r="H32" s="40">
        <f t="shared" si="5"/>
        <v>107</v>
      </c>
      <c r="I32" s="39">
        <f t="shared" si="13"/>
        <v>2</v>
      </c>
      <c r="J32" s="39" t="str">
        <f t="shared" si="6"/>
        <v>107,</v>
      </c>
      <c r="K32" s="39"/>
      <c r="L32" s="2">
        <f t="shared" si="7"/>
        <v>-1.9690833644606772E-2</v>
      </c>
      <c r="M32" s="4">
        <f t="shared" si="8"/>
        <v>2803.7383177570096</v>
      </c>
      <c r="N32" s="4">
        <f t="shared" si="14"/>
        <v>51.444739775358357</v>
      </c>
      <c r="O32" t="str">
        <f t="shared" si="0"/>
        <v>0x6A9E11AB,</v>
      </c>
      <c r="P32" s="17">
        <f>$B$12/G32</f>
        <v>2813.7981164518087</v>
      </c>
      <c r="Q32" s="17">
        <f t="shared" si="9"/>
        <v>1682.2429906542059</v>
      </c>
      <c r="R32" s="17">
        <f t="shared" si="10"/>
        <v>7.0093457943925239</v>
      </c>
      <c r="S32">
        <f t="shared" si="11"/>
        <v>-1290.4584737329494</v>
      </c>
    </row>
    <row r="33" spans="1:23" x14ac:dyDescent="0.25">
      <c r="A33" t="s">
        <v>20</v>
      </c>
      <c r="D33" s="3">
        <f t="shared" si="12"/>
        <v>1.962515423005371</v>
      </c>
      <c r="E33">
        <v>32</v>
      </c>
      <c r="F33" s="13">
        <f t="shared" si="3"/>
        <v>95.901342448040225</v>
      </c>
      <c r="G33" s="19">
        <f t="shared" si="4"/>
        <v>104.65494168806099</v>
      </c>
      <c r="H33" s="40">
        <f t="shared" si="5"/>
        <v>105</v>
      </c>
      <c r="I33" s="39">
        <f t="shared" si="13"/>
        <v>2</v>
      </c>
      <c r="J33" s="39" t="str">
        <f t="shared" si="6"/>
        <v>105,</v>
      </c>
      <c r="K33" s="39"/>
      <c r="L33" s="2">
        <f t="shared" si="7"/>
        <v>-1.8945470268050123E-2</v>
      </c>
      <c r="M33" s="4">
        <f t="shared" si="8"/>
        <v>2857.1428571428573</v>
      </c>
      <c r="N33" s="4">
        <f t="shared" si="14"/>
        <v>53.404539385847784</v>
      </c>
      <c r="O33" t="str">
        <f t="shared" si="0"/>
        <v>0x68A7AA42,</v>
      </c>
      <c r="P33" s="17">
        <f>$B$12/G33</f>
        <v>2866.5631566084371</v>
      </c>
      <c r="Q33" s="17">
        <f t="shared" si="9"/>
        <v>1714.2857142857144</v>
      </c>
      <c r="R33" s="17">
        <f t="shared" si="10"/>
        <v>7.1428571428571432</v>
      </c>
      <c r="S33">
        <f t="shared" si="11"/>
        <v>-1241.6103394869328</v>
      </c>
    </row>
    <row r="34" spans="1:23" x14ac:dyDescent="0.25">
      <c r="D34" s="3">
        <f t="shared" si="12"/>
        <v>1.8581057714786624</v>
      </c>
      <c r="E34">
        <v>33</v>
      </c>
      <c r="F34" s="13">
        <f t="shared" si="3"/>
        <v>94.431323917644946</v>
      </c>
      <c r="G34" s="3">
        <f t="shared" si="4"/>
        <v>102.79683591658232</v>
      </c>
      <c r="H34" s="40">
        <f t="shared" si="5"/>
        <v>103</v>
      </c>
      <c r="I34" s="39">
        <f t="shared" si="13"/>
        <v>2</v>
      </c>
      <c r="J34" s="39" t="str">
        <f t="shared" si="6"/>
        <v>103,</v>
      </c>
      <c r="K34" s="39"/>
      <c r="L34" s="2">
        <f t="shared" si="7"/>
        <v>-1.8254428032885742E-2</v>
      </c>
      <c r="M34" s="4">
        <f t="shared" si="8"/>
        <v>2912.6213592233012</v>
      </c>
      <c r="N34" s="4">
        <f t="shared" si="14"/>
        <v>55.478502080443832</v>
      </c>
      <c r="O34" t="str">
        <f t="shared" si="0"/>
        <v>0x66CBFD70,</v>
      </c>
      <c r="P34" s="17">
        <f>$B$12/G34</f>
        <v>2918.3777625553016</v>
      </c>
      <c r="Q34" s="17">
        <f t="shared" si="9"/>
        <v>1747.5728155339807</v>
      </c>
      <c r="R34" s="17">
        <f t="shared" si="10"/>
        <v>7.2815533980582527</v>
      </c>
      <c r="S34">
        <f t="shared" si="11"/>
        <v>-1196.3221955632</v>
      </c>
    </row>
    <row r="35" spans="1:23" ht="15.75" thickBot="1" x14ac:dyDescent="0.3">
      <c r="A35" t="s">
        <v>33</v>
      </c>
      <c r="D35" s="3">
        <f t="shared" si="12"/>
        <v>1.7626274900031689</v>
      </c>
      <c r="E35">
        <v>34</v>
      </c>
      <c r="F35" s="13">
        <f t="shared" si="3"/>
        <v>93.027873787606026</v>
      </c>
      <c r="G35" s="3">
        <f t="shared" si="4"/>
        <v>101.03420842657916</v>
      </c>
      <c r="H35" s="41">
        <f t="shared" si="5"/>
        <v>101</v>
      </c>
      <c r="I35" s="39">
        <f t="shared" si="13"/>
        <v>2</v>
      </c>
      <c r="J35" s="39" t="str">
        <f t="shared" si="6"/>
        <v>101,</v>
      </c>
      <c r="K35" s="39"/>
      <c r="L35" s="2">
        <f t="shared" si="7"/>
        <v>-1.7611982457434582E-2</v>
      </c>
      <c r="M35" s="4">
        <f t="shared" si="8"/>
        <v>2970.2970297029701</v>
      </c>
      <c r="N35" s="4">
        <f t="shared" si="14"/>
        <v>57.675670479668952</v>
      </c>
      <c r="O35" t="str">
        <f t="shared" si="0"/>
        <v>0x6508C1E2,</v>
      </c>
      <c r="P35" s="17">
        <f>$B$12/G35</f>
        <v>2969.2913387648091</v>
      </c>
      <c r="Q35" s="17">
        <f t="shared" si="9"/>
        <v>1782.1782178217823</v>
      </c>
      <c r="R35" s="17">
        <f t="shared" si="10"/>
        <v>7.4257425742574252</v>
      </c>
      <c r="S35">
        <f t="shared" si="11"/>
        <v>-1154.2188823304327</v>
      </c>
    </row>
    <row r="36" spans="1:23" x14ac:dyDescent="0.25">
      <c r="A36" t="s">
        <v>25</v>
      </c>
      <c r="D36" s="3">
        <f t="shared" si="12"/>
        <v>1.6750474281788001</v>
      </c>
      <c r="G36" s="3">
        <f t="shared" si="4"/>
        <v>99.359160998400355</v>
      </c>
      <c r="H36" s="42">
        <f>ROUND(G36,0)</f>
        <v>99</v>
      </c>
      <c r="I36" s="39">
        <f t="shared" si="13"/>
        <v>2</v>
      </c>
      <c r="J36" s="39" t="str">
        <f t="shared" si="6"/>
        <v>99,</v>
      </c>
      <c r="K36" s="39"/>
      <c r="L36" s="2">
        <f t="shared" si="7"/>
        <v>-1.7013185453975732E-2</v>
      </c>
      <c r="M36" s="4">
        <f t="shared" si="8"/>
        <v>3030.3030303030305</v>
      </c>
      <c r="O36" t="str">
        <f t="shared" si="0"/>
        <v>0x635BF1F9,</v>
      </c>
      <c r="P36" s="17">
        <f>$B$12/G36</f>
        <v>3019.3491670569751</v>
      </c>
      <c r="Q36" s="17">
        <f t="shared" si="9"/>
        <v>1818.1818181818182</v>
      </c>
      <c r="R36" s="17">
        <f t="shared" si="10"/>
        <v>7.5757575757575761</v>
      </c>
      <c r="S36">
        <f t="shared" si="11"/>
        <v>-1114.9761219117536</v>
      </c>
    </row>
    <row r="37" spans="1:23" x14ac:dyDescent="0.25">
      <c r="A37" t="s">
        <v>26</v>
      </c>
      <c r="D37" s="3">
        <f t="shared" si="12"/>
        <v>1.5944810277222814</v>
      </c>
      <c r="G37" s="3">
        <f t="shared" si="4"/>
        <v>97.764679970678074</v>
      </c>
      <c r="H37" s="43">
        <f>ROUND(G37,0)</f>
        <v>98</v>
      </c>
      <c r="I37" s="39">
        <f t="shared" si="13"/>
        <v>1</v>
      </c>
      <c r="J37" s="39" t="str">
        <f t="shared" si="6"/>
        <v>98,</v>
      </c>
      <c r="K37" s="39"/>
      <c r="L37" s="2">
        <f t="shared" si="7"/>
        <v>-1.6453738123843403E-2</v>
      </c>
      <c r="M37" s="4">
        <f t="shared" si="8"/>
        <v>3061.2244897959185</v>
      </c>
      <c r="O37" t="str">
        <f t="shared" si="0"/>
        <v>0x61C3C211,</v>
      </c>
      <c r="P37" s="17">
        <f>$B$12/G37</f>
        <v>3068.5928710652665</v>
      </c>
      <c r="Q37" s="17">
        <f t="shared" si="9"/>
        <v>1836.7346938775511</v>
      </c>
      <c r="R37" s="17">
        <f t="shared" si="10"/>
        <v>7.6530612244897966</v>
      </c>
      <c r="S37">
        <f t="shared" si="11"/>
        <v>-1078.3121816842013</v>
      </c>
    </row>
    <row r="38" spans="1:23" x14ac:dyDescent="0.25">
      <c r="G38" s="3">
        <f t="shared" si="4"/>
        <v>96.244512934771066</v>
      </c>
      <c r="H38" s="43">
        <f>ROUND(G38,0)</f>
        <v>96</v>
      </c>
      <c r="I38" s="39">
        <f t="shared" si="13"/>
        <v>2</v>
      </c>
      <c r="J38" s="39" t="str">
        <f t="shared" si="6"/>
        <v>96,</v>
      </c>
      <c r="K38" s="39"/>
      <c r="L38" s="2">
        <f t="shared" si="7"/>
        <v>-1.5929887749615172E-2</v>
      </c>
      <c r="M38" s="4">
        <f t="shared" si="8"/>
        <v>3125</v>
      </c>
      <c r="O38" t="str">
        <f t="shared" si="0"/>
        <v>0x603E9866,</v>
      </c>
      <c r="P38" s="17">
        <f>$B$12/G38</f>
        <v>3117.0608157508423</v>
      </c>
      <c r="Q38" s="17">
        <f t="shared" si="9"/>
        <v>1875</v>
      </c>
      <c r="R38" s="17">
        <f t="shared" si="10"/>
        <v>7.8125</v>
      </c>
      <c r="S38">
        <f t="shared" si="11"/>
        <v>-1043.9811235587799</v>
      </c>
    </row>
    <row r="39" spans="1:23" x14ac:dyDescent="0.25">
      <c r="G39" s="3">
        <f t="shared" si="4"/>
        <v>94.79306578760108</v>
      </c>
      <c r="H39" s="40">
        <f>ROUND(G39,0)</f>
        <v>95</v>
      </c>
      <c r="I39" s="39">
        <f t="shared" si="13"/>
        <v>1</v>
      </c>
      <c r="J39" s="39" t="str">
        <f t="shared" si="6"/>
        <v>95,</v>
      </c>
      <c r="K39" s="39"/>
      <c r="L39" s="2">
        <f t="shared" si="7"/>
        <v>-1.5438343783418858E-2</v>
      </c>
      <c r="M39" s="4">
        <f t="shared" si="8"/>
        <v>3157.8947368421054</v>
      </c>
      <c r="O39" t="str">
        <f t="shared" si="0"/>
        <v>0x5ECB065C,</v>
      </c>
      <c r="P39" s="17">
        <f>$B$12/G39</f>
        <v>3164.7884526933399</v>
      </c>
      <c r="Q39" s="17">
        <f t="shared" si="9"/>
        <v>1894.7368421052631</v>
      </c>
      <c r="R39" s="17">
        <f t="shared" si="10"/>
        <v>7.8947368421052637</v>
      </c>
      <c r="S39">
        <f t="shared" si="11"/>
        <v>-1011.7672981901383</v>
      </c>
    </row>
    <row r="40" spans="1:23" x14ac:dyDescent="0.25">
      <c r="G40" s="3">
        <f t="shared" si="4"/>
        <v>93.405316289675326</v>
      </c>
      <c r="H40" s="40">
        <f t="shared" ref="H40:H53" si="17">ROUND(G40,0)</f>
        <v>93</v>
      </c>
      <c r="I40" s="39">
        <f t="shared" si="13"/>
        <v>2</v>
      </c>
      <c r="J40" s="39" t="str">
        <f t="shared" si="6"/>
        <v>93,</v>
      </c>
      <c r="K40" s="39"/>
      <c r="L40" s="2">
        <f t="shared" si="7"/>
        <v>-1.4976208869020778E-2</v>
      </c>
      <c r="M40" s="4">
        <f t="shared" si="8"/>
        <v>3225.8064516129034</v>
      </c>
      <c r="O40" t="str">
        <f t="shared" si="0"/>
        <v>0x5D67C2CE,</v>
      </c>
      <c r="P40" s="17">
        <f>$B$12/G40</f>
        <v>3211.8086198607612</v>
      </c>
      <c r="Q40" s="17">
        <f t="shared" si="9"/>
        <v>1935.4838709677422</v>
      </c>
      <c r="R40" s="17">
        <f t="shared" si="10"/>
        <v>8.064516129032258</v>
      </c>
      <c r="S40">
        <f t="shared" si="11"/>
        <v>-981.48082444014574</v>
      </c>
    </row>
    <row r="41" spans="1:23" x14ac:dyDescent="0.25">
      <c r="G41" s="3">
        <f t="shared" si="4"/>
        <v>92.076741092055059</v>
      </c>
      <c r="H41" s="40">
        <f t="shared" si="17"/>
        <v>92</v>
      </c>
      <c r="I41" s="39">
        <f t="shared" si="13"/>
        <v>1</v>
      </c>
      <c r="J41" s="39" t="str">
        <f t="shared" si="6"/>
        <v>92,</v>
      </c>
      <c r="K41" s="39"/>
      <c r="L41" s="2">
        <f t="shared" si="7"/>
        <v>-1.4540921851957146E-2</v>
      </c>
      <c r="M41" s="4">
        <f t="shared" si="8"/>
        <v>3260.8695652173915</v>
      </c>
      <c r="O41" t="str">
        <f t="shared" si="0"/>
        <v>0x5C13A54D,</v>
      </c>
      <c r="P41" s="17">
        <f>$B$12/G41</f>
        <v>3258.1518029626031</v>
      </c>
      <c r="Q41" s="17">
        <f t="shared" si="9"/>
        <v>1956.521739130435</v>
      </c>
      <c r="R41" s="17">
        <f t="shared" si="10"/>
        <v>8.1521739130434785</v>
      </c>
      <c r="S41">
        <f t="shared" si="11"/>
        <v>-952.95385448986349</v>
      </c>
      <c r="V41">
        <v>1.1000000000000001</v>
      </c>
      <c r="W41" s="14">
        <f xml:space="preserve"> -66.667*POWER(V41,3) + 500*POWER(V41,2) - 833.33*V41</f>
        <v>-400.39677700000004</v>
      </c>
    </row>
    <row r="42" spans="1:23" x14ac:dyDescent="0.25">
      <c r="E42" s="3"/>
      <c r="F42" s="3"/>
      <c r="G42" s="3">
        <f t="shared" si="4"/>
        <v>90.803253822246973</v>
      </c>
      <c r="H42" s="40">
        <f t="shared" si="17"/>
        <v>91</v>
      </c>
      <c r="I42" s="39">
        <f t="shared" si="13"/>
        <v>1</v>
      </c>
      <c r="J42" s="39" t="str">
        <f t="shared" si="6"/>
        <v>91,</v>
      </c>
      <c r="K42" s="39"/>
      <c r="L42" s="2">
        <f t="shared" si="7"/>
        <v>-1.4130210416888903E-2</v>
      </c>
      <c r="M42" s="4">
        <f t="shared" si="8"/>
        <v>3296.7032967032969</v>
      </c>
      <c r="O42" t="str">
        <f t="shared" si="0"/>
        <v>0x5ACDA20A,</v>
      </c>
      <c r="P42" s="17">
        <f>$B$12/G42</f>
        <v>3303.8463642202591</v>
      </c>
      <c r="Q42" s="17">
        <f t="shared" si="9"/>
        <v>1978.0219780219784</v>
      </c>
      <c r="R42" s="17">
        <f t="shared" si="10"/>
        <v>8.2417582417582427</v>
      </c>
      <c r="S42">
        <f t="shared" si="11"/>
        <v>-926.03746988123112</v>
      </c>
      <c r="V42">
        <v>1.2</v>
      </c>
      <c r="W42" s="14">
        <f t="shared" ref="W42:W70" si="18" xml:space="preserve"> -66.667*POWER(V42,3) + 500*POWER(V42,2) - 833.33*V42</f>
        <v>-395.19657599999994</v>
      </c>
    </row>
    <row r="43" spans="1:23" x14ac:dyDescent="0.25">
      <c r="E43" s="3"/>
      <c r="F43" s="3"/>
      <c r="G43" s="3">
        <f t="shared" si="4"/>
        <v>89.581152302866329</v>
      </c>
      <c r="H43" s="40">
        <f t="shared" si="17"/>
        <v>90</v>
      </c>
      <c r="I43" s="39">
        <f t="shared" si="13"/>
        <v>1</v>
      </c>
      <c r="J43" s="39" t="str">
        <f t="shared" si="6"/>
        <v>90,</v>
      </c>
      <c r="K43" s="39"/>
      <c r="L43" s="2">
        <f t="shared" si="7"/>
        <v>-1.3742051507845682E-2</v>
      </c>
      <c r="M43" s="4">
        <f t="shared" si="8"/>
        <v>3333.3333333333335</v>
      </c>
      <c r="O43" t="str">
        <f t="shared" si="0"/>
        <v>0x5994C665,</v>
      </c>
      <c r="P43" s="17">
        <f>$B$12/G43</f>
        <v>3348.918743372772</v>
      </c>
      <c r="Q43" s="17">
        <f t="shared" si="9"/>
        <v>2000</v>
      </c>
      <c r="R43" s="17">
        <f t="shared" si="10"/>
        <v>8.3333333333333339</v>
      </c>
      <c r="S43">
        <f t="shared" si="11"/>
        <v>-900.59908761817462</v>
      </c>
      <c r="V43">
        <v>1.3</v>
      </c>
      <c r="W43" s="14">
        <f t="shared" si="18"/>
        <v>-384.79639900000006</v>
      </c>
    </row>
    <row r="44" spans="1:23" x14ac:dyDescent="0.25">
      <c r="E44" s="3"/>
      <c r="F44" s="3"/>
      <c r="G44" s="3">
        <f t="shared" si="4"/>
        <v>88.407073353641167</v>
      </c>
      <c r="H44" s="40">
        <f t="shared" si="17"/>
        <v>88</v>
      </c>
      <c r="I44" s="39">
        <f t="shared" si="13"/>
        <v>2</v>
      </c>
      <c r="J44" s="39" t="str">
        <f t="shared" si="6"/>
        <v>88,</v>
      </c>
      <c r="K44" s="39"/>
      <c r="L44" s="2">
        <f t="shared" si="7"/>
        <v>-1.3374638079848887E-2</v>
      </c>
      <c r="M44" s="4">
        <f t="shared" si="8"/>
        <v>3409.090909090909</v>
      </c>
      <c r="O44" t="str">
        <f t="shared" si="0"/>
        <v>0x586835F5,</v>
      </c>
      <c r="P44" s="17">
        <f>$B$12/G44</f>
        <v>3393.3936349182868</v>
      </c>
      <c r="Q44" s="17">
        <f t="shared" si="9"/>
        <v>2045.4545454545453</v>
      </c>
      <c r="R44" s="17">
        <f t="shared" si="10"/>
        <v>8.5227272727272734</v>
      </c>
      <c r="S44">
        <f t="shared" si="11"/>
        <v>-876.52028120097668</v>
      </c>
      <c r="V44">
        <v>1.4</v>
      </c>
      <c r="W44" s="14">
        <f t="shared" si="18"/>
        <v>-369.59624800000006</v>
      </c>
    </row>
    <row r="45" spans="1:23" x14ac:dyDescent="0.25">
      <c r="E45" s="3"/>
      <c r="F45" s="3"/>
      <c r="G45" s="3">
        <f t="shared" si="4"/>
        <v>87.277953922723427</v>
      </c>
      <c r="H45" s="40">
        <f t="shared" si="17"/>
        <v>87</v>
      </c>
      <c r="I45" s="39">
        <f t="shared" si="13"/>
        <v>1</v>
      </c>
      <c r="J45" s="39" t="str">
        <f t="shared" si="6"/>
        <v>87,</v>
      </c>
      <c r="K45" s="39"/>
      <c r="L45" s="2">
        <f t="shared" si="7"/>
        <v>-1.3026351031593483E-2</v>
      </c>
      <c r="M45" s="4">
        <f t="shared" si="8"/>
        <v>3448.2758620689656</v>
      </c>
      <c r="O45" t="str">
        <f t="shared" si="0"/>
        <v>0x574727FC,</v>
      </c>
      <c r="P45" s="17">
        <f>$B$12/G45</f>
        <v>3437.2941449294549</v>
      </c>
      <c r="Q45" s="17">
        <f t="shared" si="9"/>
        <v>2068.9655172413795</v>
      </c>
      <c r="R45" s="17">
        <f t="shared" si="10"/>
        <v>8.6206896551724146</v>
      </c>
      <c r="S45">
        <f>L45*65536</f>
        <v>-853.69494120651052</v>
      </c>
      <c r="V45">
        <v>1.5</v>
      </c>
      <c r="W45" s="14">
        <f t="shared" si="18"/>
        <v>-349.99612500000012</v>
      </c>
    </row>
    <row r="46" spans="1:23" x14ac:dyDescent="0.25">
      <c r="E46" s="3"/>
      <c r="F46" s="3"/>
      <c r="G46" s="3">
        <f t="shared" si="4"/>
        <v>86.190997526467356</v>
      </c>
      <c r="H46" s="40">
        <f t="shared" si="17"/>
        <v>86</v>
      </c>
      <c r="I46" s="39">
        <f t="shared" si="13"/>
        <v>1</v>
      </c>
      <c r="J46" s="39" t="str">
        <f t="shared" si="6"/>
        <v>86,</v>
      </c>
      <c r="K46" s="39"/>
      <c r="L46" s="2">
        <f t="shared" si="7"/>
        <v>-1.2695735401561723E-2</v>
      </c>
      <c r="M46" s="4">
        <f t="shared" si="8"/>
        <v>3488.3720930232557</v>
      </c>
      <c r="O46" t="str">
        <f t="shared" si="0"/>
        <v>0x5630E536,</v>
      </c>
      <c r="P46" s="17">
        <f>$B$12/G46</f>
        <v>3480.6419302419213</v>
      </c>
      <c r="Q46" s="17">
        <f t="shared" si="9"/>
        <v>2093.0232558139537</v>
      </c>
      <c r="R46" s="17">
        <f t="shared" si="10"/>
        <v>8.720930232558139</v>
      </c>
      <c r="S46">
        <f t="shared" ref="S46:S70" si="19">L46*65536</f>
        <v>-832.02771527674906</v>
      </c>
      <c r="V46">
        <v>1.6</v>
      </c>
      <c r="W46" s="14">
        <f t="shared" si="18"/>
        <v>-326.3960320000001</v>
      </c>
    </row>
    <row r="47" spans="1:23" x14ac:dyDescent="0.25">
      <c r="E47" s="3"/>
      <c r="F47" s="3"/>
      <c r="G47" s="3">
        <f t="shared" si="4"/>
        <v>85.143645162103198</v>
      </c>
      <c r="H47" s="40">
        <f t="shared" si="17"/>
        <v>85</v>
      </c>
      <c r="I47" s="39">
        <f t="shared" si="13"/>
        <v>1</v>
      </c>
      <c r="J47" s="39" t="str">
        <f t="shared" si="6"/>
        <v>85,</v>
      </c>
      <c r="K47" s="39"/>
      <c r="L47" s="2">
        <f t="shared" si="7"/>
        <v>-1.2381480091012502E-2</v>
      </c>
      <c r="M47" s="4">
        <f t="shared" si="8"/>
        <v>3529.4117647058824</v>
      </c>
      <c r="O47" t="str">
        <f t="shared" si="0"/>
        <v>0x5524C5ED,</v>
      </c>
      <c r="P47" s="17">
        <f>$B$12/G47</f>
        <v>3523.4573223736934</v>
      </c>
      <c r="Q47" s="17">
        <f t="shared" si="9"/>
        <v>2117.6470588235297</v>
      </c>
      <c r="R47" s="17">
        <f t="shared" si="10"/>
        <v>8.8235294117647065</v>
      </c>
      <c r="S47">
        <f t="shared" si="19"/>
        <v>-811.43267924459531</v>
      </c>
      <c r="V47">
        <v>1.7</v>
      </c>
      <c r="W47" s="14">
        <f t="shared" si="18"/>
        <v>-299.19597100000033</v>
      </c>
    </row>
    <row r="48" spans="1:23" x14ac:dyDescent="0.25">
      <c r="E48" s="3"/>
      <c r="F48" s="3"/>
      <c r="G48" s="3">
        <f t="shared" si="4"/>
        <v>84.133550005817867</v>
      </c>
      <c r="H48" s="40">
        <f t="shared" si="17"/>
        <v>84</v>
      </c>
      <c r="I48" s="39">
        <f t="shared" si="13"/>
        <v>1</v>
      </c>
      <c r="J48" s="39" t="str">
        <f t="shared" si="6"/>
        <v>84,</v>
      </c>
      <c r="K48" s="39"/>
      <c r="L48" s="2">
        <f t="shared" si="7"/>
        <v>-1.2082400519150233E-2</v>
      </c>
      <c r="M48" s="4">
        <f t="shared" si="8"/>
        <v>3571.4285714285716</v>
      </c>
      <c r="O48" t="str">
        <f t="shared" si="0"/>
        <v>0x54223055,</v>
      </c>
      <c r="P48" s="17">
        <f>$B$12/G48</f>
        <v>3565.7594381700865</v>
      </c>
      <c r="Q48" s="17">
        <f t="shared" si="9"/>
        <v>2142.8571428571431</v>
      </c>
      <c r="R48" s="17">
        <f t="shared" si="10"/>
        <v>8.9285714285714288</v>
      </c>
      <c r="S48">
        <f t="shared" si="19"/>
        <v>-791.83220042302969</v>
      </c>
      <c r="V48">
        <v>1.8</v>
      </c>
      <c r="W48" s="14">
        <f t="shared" si="18"/>
        <v>-268.79594400000019</v>
      </c>
    </row>
    <row r="49" spans="5:23" x14ac:dyDescent="0.25">
      <c r="E49" s="3"/>
      <c r="F49" s="3"/>
      <c r="G49" s="3">
        <f t="shared" ref="G49:G112" si="20">G48*(1+L49+1.5*L49*L49)</f>
        <v>83.158555327797572</v>
      </c>
      <c r="H49" s="40">
        <f t="shared" si="17"/>
        <v>83</v>
      </c>
      <c r="I49" s="39">
        <f t="shared" si="13"/>
        <v>1</v>
      </c>
      <c r="J49" s="39" t="str">
        <f t="shared" si="6"/>
        <v>83,</v>
      </c>
      <c r="K49" s="39"/>
      <c r="L49" s="2">
        <f t="shared" ref="L49:L112" si="21">-1*$B$22*G48*G48</f>
        <v>-1.1797423727635759E-2</v>
      </c>
      <c r="M49" s="4">
        <f t="shared" si="8"/>
        <v>3614.4578313253014</v>
      </c>
      <c r="O49" t="str">
        <f t="shared" ref="O49:O53" si="22">CONCATENATE("0x",DEC2HEX(G49*POWER(2,24),8),",")</f>
        <v>0x53289714,</v>
      </c>
      <c r="P49" s="17">
        <f t="shared" ref="P49:P53" si="23">$B$12/G49</f>
        <v>3607.566278868705</v>
      </c>
      <c r="Q49" s="17">
        <f t="shared" si="9"/>
        <v>2168.674698795181</v>
      </c>
      <c r="R49" s="17">
        <f t="shared" si="10"/>
        <v>9.0361445783132535</v>
      </c>
      <c r="S49">
        <f t="shared" si="19"/>
        <v>-773.15596141433707</v>
      </c>
      <c r="V49">
        <v>1.9</v>
      </c>
      <c r="W49" s="14">
        <f t="shared" si="18"/>
        <v>-235.59595300000001</v>
      </c>
    </row>
    <row r="50" spans="5:23" x14ac:dyDescent="0.25">
      <c r="E50" s="3"/>
      <c r="F50" s="3"/>
      <c r="G50" s="3">
        <f t="shared" si="20"/>
        <v>82.216675152008406</v>
      </c>
      <c r="H50" s="40">
        <f t="shared" si="17"/>
        <v>82</v>
      </c>
      <c r="I50" s="39">
        <f t="shared" si="13"/>
        <v>1</v>
      </c>
      <c r="J50" s="39" t="str">
        <f t="shared" si="6"/>
        <v>82,</v>
      </c>
      <c r="K50" s="39"/>
      <c r="L50" s="2">
        <f t="shared" si="21"/>
        <v>-1.152557554034395E-2</v>
      </c>
      <c r="M50" s="4">
        <f t="shared" si="8"/>
        <v>3658.5365853658536</v>
      </c>
      <c r="O50" t="str">
        <f t="shared" si="22"/>
        <v>0x52377805,</v>
      </c>
      <c r="P50" s="17">
        <f t="shared" si="23"/>
        <v>3648.8948190295619</v>
      </c>
      <c r="Q50" s="17">
        <f t="shared" si="9"/>
        <v>2195.1219512195121</v>
      </c>
      <c r="R50" s="17">
        <f t="shared" si="10"/>
        <v>9.1463414634146343</v>
      </c>
      <c r="S50">
        <f t="shared" si="19"/>
        <v>-755.3401186119811</v>
      </c>
      <c r="V50">
        <v>2</v>
      </c>
      <c r="W50" s="14">
        <f t="shared" si="18"/>
        <v>-199.99600000000009</v>
      </c>
    </row>
    <row r="51" spans="5:23" x14ac:dyDescent="0.25">
      <c r="E51" s="3"/>
      <c r="F51" s="3"/>
      <c r="G51" s="3">
        <f t="shared" si="20"/>
        <v>81.306077266669575</v>
      </c>
      <c r="H51" s="40">
        <f t="shared" si="17"/>
        <v>81</v>
      </c>
      <c r="I51" s="39">
        <f t="shared" si="13"/>
        <v>1</v>
      </c>
      <c r="J51" s="39" t="str">
        <f t="shared" si="6"/>
        <v>81,</v>
      </c>
      <c r="K51" s="39"/>
      <c r="L51" s="2">
        <f t="shared" si="21"/>
        <v>-1.1265969455084793E-2</v>
      </c>
      <c r="M51" s="4">
        <f t="shared" si="8"/>
        <v>3703.7037037037039</v>
      </c>
      <c r="O51" t="str">
        <f t="shared" si="22"/>
        <v>0x514E5B14,</v>
      </c>
      <c r="P51" s="17">
        <f t="shared" si="23"/>
        <v>3689.7610865674037</v>
      </c>
      <c r="Q51" s="17">
        <f t="shared" si="9"/>
        <v>2222.2222222222226</v>
      </c>
      <c r="R51" s="17">
        <f t="shared" si="10"/>
        <v>9.2592592592592595</v>
      </c>
      <c r="S51">
        <f t="shared" si="19"/>
        <v>-738.32657420843702</v>
      </c>
      <c r="V51">
        <v>2.1</v>
      </c>
      <c r="W51" s="14">
        <f t="shared" si="18"/>
        <v>-162.39608700000031</v>
      </c>
    </row>
    <row r="52" spans="5:23" x14ac:dyDescent="0.25">
      <c r="E52" s="3"/>
      <c r="F52" s="3"/>
      <c r="G52" s="3">
        <f t="shared" si="20"/>
        <v>80.425068255207307</v>
      </c>
      <c r="H52" s="40">
        <f t="shared" si="17"/>
        <v>80</v>
      </c>
      <c r="I52" s="39">
        <f t="shared" si="13"/>
        <v>1</v>
      </c>
      <c r="J52" s="39" t="str">
        <f t="shared" si="6"/>
        <v>80,</v>
      </c>
      <c r="K52" s="39"/>
      <c r="L52" s="2">
        <f t="shared" si="21"/>
        <v>-1.1017797000822739E-2</v>
      </c>
      <c r="M52" s="4">
        <f t="shared" si="8"/>
        <v>3750</v>
      </c>
      <c r="O52" t="str">
        <f t="shared" si="22"/>
        <v>0x506CD145,</v>
      </c>
      <c r="P52" s="17">
        <f t="shared" si="23"/>
        <v>3730.1802349490181</v>
      </c>
      <c r="Q52" s="17">
        <f t="shared" si="9"/>
        <v>2250</v>
      </c>
      <c r="R52" s="17">
        <f t="shared" si="10"/>
        <v>9.375</v>
      </c>
      <c r="S52">
        <f t="shared" si="19"/>
        <v>-722.06234424591901</v>
      </c>
      <c r="V52">
        <v>2.2000000000000002</v>
      </c>
      <c r="W52" s="14">
        <f t="shared" si="18"/>
        <v>-123.19621600000005</v>
      </c>
    </row>
    <row r="53" spans="5:23" ht="15.75" thickBot="1" x14ac:dyDescent="0.3">
      <c r="E53" s="3"/>
      <c r="F53" s="3"/>
      <c r="G53" s="3">
        <f t="shared" si="20"/>
        <v>79.572080269845088</v>
      </c>
      <c r="H53" s="40">
        <f t="shared" si="17"/>
        <v>80</v>
      </c>
      <c r="I53" s="39">
        <f t="shared" si="13"/>
        <v>0</v>
      </c>
      <c r="J53" s="39" t="str">
        <f t="shared" si="6"/>
        <v>80,</v>
      </c>
      <c r="K53" s="39"/>
      <c r="L53" s="2">
        <f t="shared" si="21"/>
        <v>-1.0780319339757925E-2</v>
      </c>
      <c r="M53" s="4">
        <f t="shared" si="8"/>
        <v>3750</v>
      </c>
      <c r="O53" t="str">
        <f t="shared" si="22"/>
        <v>0x4F9273DA,</v>
      </c>
      <c r="P53" s="17">
        <f t="shared" si="23"/>
        <v>3770.1666084717035</v>
      </c>
      <c r="Q53" s="17">
        <f t="shared" si="9"/>
        <v>2250</v>
      </c>
      <c r="R53" s="17">
        <f t="shared" si="10"/>
        <v>9.375</v>
      </c>
      <c r="S53">
        <f t="shared" si="19"/>
        <v>-706.49900825037537</v>
      </c>
      <c r="V53">
        <v>2.2999999999999998</v>
      </c>
      <c r="W53" s="14">
        <f t="shared" si="18"/>
        <v>-82.79638900000009</v>
      </c>
    </row>
    <row r="54" spans="5:23" x14ac:dyDescent="0.25">
      <c r="E54" s="3"/>
      <c r="F54" s="3"/>
      <c r="G54" s="3">
        <f t="shared" si="20"/>
        <v>78.745659313139697</v>
      </c>
      <c r="H54" s="42">
        <f>ROUND(G54,0)</f>
        <v>79</v>
      </c>
      <c r="I54" s="39">
        <f t="shared" si="13"/>
        <v>1</v>
      </c>
      <c r="J54" s="39" t="str">
        <f t="shared" si="6"/>
        <v>79,</v>
      </c>
      <c r="K54" s="39"/>
      <c r="L54" s="2">
        <f t="shared" si="21"/>
        <v>-1.0552859930784451E-2</v>
      </c>
      <c r="M54" s="4">
        <f t="shared" si="8"/>
        <v>3797.4683544303798</v>
      </c>
      <c r="Q54" s="17">
        <f t="shared" si="9"/>
        <v>2278.4810126582279</v>
      </c>
      <c r="R54" s="17">
        <f t="shared" si="10"/>
        <v>9.4936708860759502</v>
      </c>
      <c r="S54">
        <f t="shared" si="19"/>
        <v>-691.59222842388976</v>
      </c>
      <c r="V54">
        <v>2.4</v>
      </c>
      <c r="W54" s="14">
        <f t="shared" si="18"/>
        <v>-41.59660800000006</v>
      </c>
    </row>
    <row r="55" spans="5:23" x14ac:dyDescent="0.25">
      <c r="E55" s="3"/>
      <c r="F55" s="3"/>
      <c r="G55" s="3">
        <f t="shared" si="20"/>
        <v>77.944454828487551</v>
      </c>
      <c r="H55" s="43">
        <f>ROUND(G55,0)</f>
        <v>78</v>
      </c>
      <c r="I55" s="39">
        <f t="shared" si="13"/>
        <v>1</v>
      </c>
      <c r="J55" s="39" t="str">
        <f t="shared" si="6"/>
        <v>78,</v>
      </c>
      <c r="K55" s="39"/>
      <c r="L55" s="2">
        <f t="shared" si="21"/>
        <v>-1.0334798101101775E-2</v>
      </c>
      <c r="M55" s="4">
        <f t="shared" si="8"/>
        <v>3846.1538461538462</v>
      </c>
      <c r="Q55" s="17">
        <f t="shared" si="9"/>
        <v>2307.6923076923076</v>
      </c>
      <c r="R55" s="17">
        <f t="shared" si="10"/>
        <v>9.615384615384615</v>
      </c>
      <c r="S55">
        <f t="shared" si="19"/>
        <v>-677.30132835380596</v>
      </c>
      <c r="V55">
        <v>2.5</v>
      </c>
      <c r="W55" s="14">
        <f t="shared" si="18"/>
        <v>3.1249999997271516E-3</v>
      </c>
    </row>
    <row r="56" spans="5:23" x14ac:dyDescent="0.25">
      <c r="E56" s="3"/>
      <c r="F56" s="3"/>
      <c r="G56" s="3">
        <f t="shared" si="20"/>
        <v>77.167210430305971</v>
      </c>
      <c r="H56" s="43">
        <f>ROUND(G56,0)</f>
        <v>77</v>
      </c>
      <c r="I56" s="39">
        <f t="shared" si="13"/>
        <v>1</v>
      </c>
      <c r="J56" s="39" t="str">
        <f t="shared" si="6"/>
        <v>77,</v>
      </c>
      <c r="K56" s="39"/>
      <c r="L56" s="2">
        <f t="shared" si="21"/>
        <v>-1.0125563397516893E-2</v>
      </c>
      <c r="M56" s="4">
        <f t="shared" si="8"/>
        <v>3896.1038961038962</v>
      </c>
      <c r="Q56" s="17">
        <f t="shared" si="9"/>
        <v>2337.6623376623379</v>
      </c>
      <c r="R56" s="17">
        <f t="shared" si="10"/>
        <v>9.7402597402597397</v>
      </c>
      <c r="S56">
        <f t="shared" si="19"/>
        <v>-663.58892281966712</v>
      </c>
      <c r="V56">
        <v>2.6</v>
      </c>
      <c r="W56" s="14">
        <f t="shared" si="18"/>
        <v>41.602807999999641</v>
      </c>
    </row>
    <row r="57" spans="5:23" x14ac:dyDescent="0.25">
      <c r="E57" s="3"/>
      <c r="F57" s="3"/>
      <c r="G57" s="3">
        <f t="shared" si="20"/>
        <v>76.412755629356468</v>
      </c>
      <c r="H57" s="40">
        <f>ROUND(G57,0)</f>
        <v>76</v>
      </c>
      <c r="I57" s="39">
        <f t="shared" si="13"/>
        <v>1</v>
      </c>
      <c r="J57" s="39" t="str">
        <f t="shared" si="6"/>
        <v>76,</v>
      </c>
      <c r="K57" s="39"/>
      <c r="L57" s="2">
        <f t="shared" si="21"/>
        <v>-9.9246306093252051E-3</v>
      </c>
      <c r="M57" s="4">
        <f t="shared" si="8"/>
        <v>3947.3684210526317</v>
      </c>
      <c r="Q57" s="17">
        <f t="shared" si="9"/>
        <v>2368.4210526315787</v>
      </c>
      <c r="R57" s="17">
        <f t="shared" si="10"/>
        <v>9.8684210526315788</v>
      </c>
      <c r="S57">
        <f t="shared" si="19"/>
        <v>-650.42059161273664</v>
      </c>
      <c r="V57">
        <v>2.7</v>
      </c>
      <c r="W57" s="14">
        <f t="shared" si="18"/>
        <v>82.802438999999595</v>
      </c>
    </row>
    <row r="58" spans="5:23" x14ac:dyDescent="0.25">
      <c r="E58" s="3"/>
      <c r="F58" s="3"/>
      <c r="G58" s="3">
        <f t="shared" si="20"/>
        <v>75.67999842941451</v>
      </c>
      <c r="H58" s="40">
        <f t="shared" ref="H58:H111" si="24">ROUND(G58,0)</f>
        <v>76</v>
      </c>
      <c r="I58" s="39">
        <f t="shared" si="13"/>
        <v>0</v>
      </c>
      <c r="J58" s="39" t="str">
        <f t="shared" si="6"/>
        <v>76,</v>
      </c>
      <c r="K58" s="39"/>
      <c r="L58" s="2">
        <f t="shared" si="21"/>
        <v>-9.7315153714529149E-3</v>
      </c>
      <c r="M58" s="4">
        <f t="shared" si="8"/>
        <v>3947.3684210526317</v>
      </c>
      <c r="Q58" s="17">
        <f t="shared" si="9"/>
        <v>2368.4210526315787</v>
      </c>
      <c r="R58" s="17">
        <f t="shared" si="10"/>
        <v>9.8684210526315788</v>
      </c>
      <c r="S58">
        <f t="shared" si="19"/>
        <v>-637.76459138353823</v>
      </c>
      <c r="V58">
        <v>2.8</v>
      </c>
      <c r="W58" s="14">
        <f t="shared" si="18"/>
        <v>123.20201599999973</v>
      </c>
    </row>
    <row r="59" spans="5:23" x14ac:dyDescent="0.25">
      <c r="E59" s="3"/>
      <c r="F59" s="3"/>
      <c r="G59" s="3">
        <f t="shared" si="20"/>
        <v>74.967918688919852</v>
      </c>
      <c r="H59" s="40">
        <f t="shared" si="24"/>
        <v>75</v>
      </c>
      <c r="I59" s="39">
        <f t="shared" si="13"/>
        <v>1</v>
      </c>
      <c r="J59" s="39" t="str">
        <f t="shared" si="6"/>
        <v>75,</v>
      </c>
      <c r="K59" s="39"/>
      <c r="L59" s="2">
        <f t="shared" si="21"/>
        <v>-9.5457702704603038E-3</v>
      </c>
      <c r="M59" s="4">
        <f t="shared" si="8"/>
        <v>4000</v>
      </c>
      <c r="Q59" s="17">
        <f t="shared" si="9"/>
        <v>2400</v>
      </c>
      <c r="R59" s="17">
        <f t="shared" si="10"/>
        <v>10</v>
      </c>
      <c r="S59">
        <f t="shared" si="19"/>
        <v>-625.59160044488647</v>
      </c>
      <c r="V59">
        <v>2.9</v>
      </c>
      <c r="W59" s="14">
        <f t="shared" si="18"/>
        <v>162.40153699999973</v>
      </c>
    </row>
    <row r="60" spans="5:23" x14ac:dyDescent="0.25">
      <c r="E60" s="3"/>
      <c r="F60" s="3"/>
      <c r="G60" s="3">
        <f t="shared" si="20"/>
        <v>74.275562155942808</v>
      </c>
      <c r="H60" s="40">
        <f t="shared" si="24"/>
        <v>74</v>
      </c>
      <c r="I60" s="39">
        <f t="shared" si="13"/>
        <v>1</v>
      </c>
      <c r="J60" s="39" t="str">
        <f t="shared" si="6"/>
        <v>74,</v>
      </c>
      <c r="K60" s="39"/>
      <c r="L60" s="2">
        <f t="shared" si="21"/>
        <v>-9.3669813875808302E-3</v>
      </c>
      <c r="M60" s="4">
        <f t="shared" si="8"/>
        <v>4054.0540540540542</v>
      </c>
      <c r="Q60" s="17">
        <f t="shared" si="9"/>
        <v>2432.4324324324325</v>
      </c>
      <c r="R60" s="17">
        <f t="shared" si="10"/>
        <v>10.135135135135135</v>
      </c>
      <c r="S60">
        <f t="shared" si="19"/>
        <v>-613.87449221649729</v>
      </c>
      <c r="V60">
        <v>3</v>
      </c>
      <c r="W60" s="14">
        <f t="shared" si="18"/>
        <v>200.00099999999975</v>
      </c>
    </row>
    <row r="61" spans="5:23" x14ac:dyDescent="0.25">
      <c r="E61" s="3"/>
      <c r="F61" s="3"/>
      <c r="G61" s="3">
        <f t="shared" si="20"/>
        <v>73.60203509724154</v>
      </c>
      <c r="H61" s="40">
        <f t="shared" si="24"/>
        <v>74</v>
      </c>
      <c r="I61" s="39">
        <f t="shared" si="13"/>
        <v>0</v>
      </c>
      <c r="J61" s="39" t="str">
        <f t="shared" si="6"/>
        <v>74,</v>
      </c>
      <c r="K61" s="39"/>
      <c r="L61" s="2">
        <f t="shared" si="21"/>
        <v>-9.1947652226355391E-3</v>
      </c>
      <c r="M61" s="4">
        <f t="shared" si="8"/>
        <v>4054.0540540540542</v>
      </c>
      <c r="Q61" s="17">
        <f t="shared" si="9"/>
        <v>2432.4324324324325</v>
      </c>
      <c r="R61" s="17">
        <f t="shared" si="10"/>
        <v>10.135135135135135</v>
      </c>
      <c r="S61">
        <f t="shared" si="19"/>
        <v>-602.58813363064269</v>
      </c>
      <c r="V61">
        <v>3.1</v>
      </c>
      <c r="W61" s="14">
        <f t="shared" si="18"/>
        <v>235.60040300000037</v>
      </c>
    </row>
    <row r="62" spans="5:23" x14ac:dyDescent="0.25">
      <c r="E62" s="3"/>
      <c r="F62" s="3"/>
      <c r="G62" s="3">
        <f t="shared" si="20"/>
        <v>72.94649945274756</v>
      </c>
      <c r="H62" s="40">
        <f t="shared" si="24"/>
        <v>73</v>
      </c>
      <c r="I62" s="39">
        <f t="shared" si="13"/>
        <v>1</v>
      </c>
      <c r="J62" s="39" t="str">
        <f t="shared" si="6"/>
        <v>73,</v>
      </c>
      <c r="K62" s="39"/>
      <c r="L62" s="2">
        <f t="shared" si="21"/>
        <v>-9.0287659507592936E-3</v>
      </c>
      <c r="M62" s="4">
        <f t="shared" si="8"/>
        <v>4109.58904109589</v>
      </c>
      <c r="Q62" s="17">
        <f t="shared" si="9"/>
        <v>2465.7534246575342</v>
      </c>
      <c r="R62" s="17">
        <f t="shared" si="10"/>
        <v>10.273972602739725</v>
      </c>
      <c r="S62">
        <f t="shared" si="19"/>
        <v>-591.70920534896106</v>
      </c>
      <c r="V62">
        <v>3.2</v>
      </c>
      <c r="W62" s="14">
        <f t="shared" si="18"/>
        <v>268.79974399999992</v>
      </c>
    </row>
    <row r="63" spans="5:23" x14ac:dyDescent="0.25">
      <c r="E63" s="3"/>
      <c r="F63" s="3"/>
      <c r="G63" s="3">
        <f t="shared" si="20"/>
        <v>72.308168455810602</v>
      </c>
      <c r="H63" s="40">
        <f t="shared" si="24"/>
        <v>72</v>
      </c>
      <c r="I63" s="39">
        <f t="shared" si="13"/>
        <v>1</v>
      </c>
      <c r="J63" s="39" t="str">
        <f t="shared" si="6"/>
        <v>72,</v>
      </c>
      <c r="K63" s="39"/>
      <c r="L63" s="2">
        <f t="shared" si="21"/>
        <v>-8.8686529706828339E-3</v>
      </c>
      <c r="M63" s="4">
        <f t="shared" si="8"/>
        <v>4166.666666666667</v>
      </c>
      <c r="Q63" s="17">
        <f t="shared" si="9"/>
        <v>2500.0000000000005</v>
      </c>
      <c r="R63" s="17">
        <f t="shared" si="10"/>
        <v>10.416666666666668</v>
      </c>
      <c r="S63">
        <f t="shared" si="19"/>
        <v>-581.2160410866702</v>
      </c>
      <c r="V63">
        <v>3.3</v>
      </c>
      <c r="W63" s="14">
        <f t="shared" si="18"/>
        <v>299.19902099999899</v>
      </c>
    </row>
    <row r="64" spans="5:23" x14ac:dyDescent="0.25">
      <c r="E64" s="3"/>
      <c r="F64" s="3"/>
      <c r="G64" s="3">
        <f t="shared" si="20"/>
        <v>71.686302667216097</v>
      </c>
      <c r="H64" s="40">
        <f t="shared" si="24"/>
        <v>72</v>
      </c>
      <c r="I64" s="39">
        <f t="shared" si="13"/>
        <v>0</v>
      </c>
      <c r="J64" s="39" t="str">
        <f t="shared" si="6"/>
        <v>72,</v>
      </c>
      <c r="K64" s="39"/>
      <c r="L64" s="2">
        <f t="shared" si="21"/>
        <v>-8.7141187090564714E-3</v>
      </c>
      <c r="M64" s="4">
        <f t="shared" si="8"/>
        <v>4166.666666666667</v>
      </c>
      <c r="Q64" s="17">
        <f t="shared" si="9"/>
        <v>2500.0000000000005</v>
      </c>
      <c r="R64" s="17">
        <f t="shared" si="10"/>
        <v>10.416666666666668</v>
      </c>
      <c r="S64">
        <f t="shared" si="19"/>
        <v>-571.08848371672491</v>
      </c>
      <c r="V64">
        <v>3.4</v>
      </c>
      <c r="W64" s="14">
        <f t="shared" si="18"/>
        <v>326.3982319999991</v>
      </c>
    </row>
    <row r="65" spans="5:23" x14ac:dyDescent="0.25">
      <c r="E65" s="3"/>
      <c r="F65" s="3"/>
      <c r="G65" s="3">
        <f t="shared" si="20"/>
        <v>71.080206377569326</v>
      </c>
      <c r="H65" s="40">
        <f t="shared" si="24"/>
        <v>71</v>
      </c>
      <c r="I65" s="39">
        <f t="shared" si="13"/>
        <v>1</v>
      </c>
      <c r="J65" s="39" t="str">
        <f t="shared" si="6"/>
        <v>71,</v>
      </c>
      <c r="K65" s="39"/>
      <c r="L65" s="2">
        <f t="shared" si="21"/>
        <v>-8.5648766501595225E-3</v>
      </c>
      <c r="M65" s="4">
        <f t="shared" si="8"/>
        <v>4225.3521126760561</v>
      </c>
      <c r="Q65" s="17">
        <f t="shared" si="9"/>
        <v>2535.2112676056336</v>
      </c>
      <c r="R65" s="17">
        <f t="shared" si="10"/>
        <v>10.56338028169014</v>
      </c>
      <c r="S65">
        <f t="shared" si="19"/>
        <v>-561.30775614485447</v>
      </c>
      <c r="V65">
        <v>3.5</v>
      </c>
      <c r="W65" s="14">
        <f t="shared" si="18"/>
        <v>349.99737499999992</v>
      </c>
    </row>
    <row r="66" spans="5:23" x14ac:dyDescent="0.25">
      <c r="E66" s="3"/>
      <c r="F66" s="3"/>
      <c r="G66" s="3">
        <f t="shared" si="20"/>
        <v>70.489224338292331</v>
      </c>
      <c r="H66" s="40">
        <f t="shared" si="24"/>
        <v>70</v>
      </c>
      <c r="I66" s="39">
        <f t="shared" si="13"/>
        <v>1</v>
      </c>
      <c r="J66" s="39" t="str">
        <f t="shared" si="6"/>
        <v>70,</v>
      </c>
      <c r="K66" s="39"/>
      <c r="L66" s="2">
        <f t="shared" si="21"/>
        <v>-8.4206595644630775E-3</v>
      </c>
      <c r="M66" s="4">
        <f t="shared" si="8"/>
        <v>4285.7142857142853</v>
      </c>
      <c r="Q66" s="17">
        <f t="shared" si="9"/>
        <v>2571.4285714285711</v>
      </c>
      <c r="R66" s="17">
        <f t="shared" si="10"/>
        <v>10.714285714285714</v>
      </c>
      <c r="S66">
        <f t="shared" si="19"/>
        <v>-551.85634521665224</v>
      </c>
      <c r="V66">
        <v>3.6</v>
      </c>
      <c r="W66" s="14">
        <f t="shared" si="18"/>
        <v>369.59644799999933</v>
      </c>
    </row>
    <row r="67" spans="5:23" x14ac:dyDescent="0.25">
      <c r="E67" s="3"/>
      <c r="F67" s="3"/>
      <c r="G67" s="3">
        <f t="shared" si="20"/>
        <v>69.912738786348228</v>
      </c>
      <c r="H67" s="40">
        <f t="shared" si="24"/>
        <v>70</v>
      </c>
      <c r="I67" s="39">
        <f t="shared" si="13"/>
        <v>0</v>
      </c>
      <c r="J67" s="39" t="str">
        <f t="shared" si="6"/>
        <v>70,</v>
      </c>
      <c r="K67" s="39"/>
      <c r="L67" s="2">
        <f t="shared" si="21"/>
        <v>-8.2812179130235062E-3</v>
      </c>
      <c r="M67" s="4">
        <f t="shared" si="8"/>
        <v>4285.7142857142853</v>
      </c>
      <c r="Q67" s="17">
        <f t="shared" si="9"/>
        <v>2571.4285714285711</v>
      </c>
      <c r="R67" s="17">
        <f t="shared" si="10"/>
        <v>10.714285714285714</v>
      </c>
      <c r="S67">
        <f t="shared" si="19"/>
        <v>-542.7178971479085</v>
      </c>
      <c r="V67">
        <v>3.7</v>
      </c>
      <c r="W67" s="14">
        <f t="shared" si="18"/>
        <v>384.79544900000019</v>
      </c>
    </row>
    <row r="68" spans="5:23" x14ac:dyDescent="0.25">
      <c r="E68" s="3"/>
      <c r="F68" s="3"/>
      <c r="G68" s="3">
        <f t="shared" si="20"/>
        <v>69.350166732010678</v>
      </c>
      <c r="H68" s="40">
        <f t="shared" si="24"/>
        <v>69</v>
      </c>
      <c r="I68" s="39">
        <f t="shared" si="13"/>
        <v>1</v>
      </c>
      <c r="J68" s="39" t="str">
        <f t="shared" si="6"/>
        <v>69,</v>
      </c>
      <c r="K68" s="39"/>
      <c r="L68" s="2">
        <f t="shared" si="21"/>
        <v>-8.1463184076802659E-3</v>
      </c>
      <c r="M68" s="4">
        <f t="shared" si="8"/>
        <v>4347.826086956522</v>
      </c>
      <c r="Q68" s="17">
        <f t="shared" si="9"/>
        <v>2608.6956521739135</v>
      </c>
      <c r="R68" s="17">
        <f t="shared" si="10"/>
        <v>10.869565217391305</v>
      </c>
      <c r="S68">
        <f t="shared" si="19"/>
        <v>-533.87712316573391</v>
      </c>
      <c r="V68">
        <v>3.8</v>
      </c>
      <c r="W68" s="14">
        <f t="shared" si="18"/>
        <v>395.19437600000037</v>
      </c>
    </row>
    <row r="69" spans="5:23" x14ac:dyDescent="0.25">
      <c r="E69" s="3"/>
      <c r="F69" s="3"/>
      <c r="G69" s="3">
        <f t="shared" si="20"/>
        <v>68.800957482635283</v>
      </c>
      <c r="H69" s="40">
        <f t="shared" si="24"/>
        <v>69</v>
      </c>
      <c r="I69" s="39">
        <f t="shared" si="13"/>
        <v>0</v>
      </c>
      <c r="J69" s="39" t="str">
        <f t="shared" si="6"/>
        <v>69,</v>
      </c>
      <c r="K69" s="39"/>
      <c r="L69" s="2">
        <f t="shared" si="21"/>
        <v>-8.0157427095961346E-3</v>
      </c>
      <c r="M69" s="4">
        <f t="shared" si="8"/>
        <v>4347.826086956522</v>
      </c>
      <c r="Q69" s="17">
        <f t="shared" si="9"/>
        <v>2608.6956521739135</v>
      </c>
      <c r="R69" s="17">
        <f t="shared" si="10"/>
        <v>10.869565217391305</v>
      </c>
      <c r="S69">
        <f t="shared" si="19"/>
        <v>-525.31971421609228</v>
      </c>
      <c r="V69">
        <v>3.9</v>
      </c>
      <c r="W69" s="14">
        <f t="shared" si="18"/>
        <v>400.39322699999911</v>
      </c>
    </row>
    <row r="70" spans="5:23" x14ac:dyDescent="0.25">
      <c r="E70" s="3"/>
      <c r="F70" s="3"/>
      <c r="G70" s="3">
        <f t="shared" si="20"/>
        <v>68.264590378546984</v>
      </c>
      <c r="H70" s="40">
        <f t="shared" si="24"/>
        <v>68</v>
      </c>
      <c r="I70" s="39">
        <f t="shared" si="13"/>
        <v>1</v>
      </c>
      <c r="J70" s="39" t="str">
        <f t="shared" ref="J70:J111" si="25">H70&amp;","</f>
        <v>68,</v>
      </c>
      <c r="K70" s="39"/>
      <c r="L70" s="2">
        <f t="shared" si="21"/>
        <v>-7.8892862508789796E-3</v>
      </c>
      <c r="M70" s="4">
        <f t="shared" ref="M70:M111" si="26">$B$12/H70</f>
        <v>4411.7647058823532</v>
      </c>
      <c r="Q70" s="17">
        <f t="shared" ref="Q70:Q90" si="27">M70*60/400*Q$2</f>
        <v>2647.0588235294122</v>
      </c>
      <c r="R70" s="17">
        <f t="shared" ref="R70:R79" si="28">M70/400</f>
        <v>11.029411764705882</v>
      </c>
      <c r="S70">
        <f t="shared" si="19"/>
        <v>-517.03226373760481</v>
      </c>
      <c r="V70">
        <v>4</v>
      </c>
      <c r="W70" s="14">
        <f t="shared" si="18"/>
        <v>399.99199999999973</v>
      </c>
    </row>
    <row r="71" spans="5:23" x14ac:dyDescent="0.25">
      <c r="E71" s="3"/>
      <c r="F71" s="3"/>
      <c r="G71" s="3">
        <f t="shared" si="20"/>
        <v>67.740572719903497</v>
      </c>
      <c r="H71" s="40">
        <f t="shared" si="24"/>
        <v>68</v>
      </c>
      <c r="I71" s="39">
        <f t="shared" ref="I71:I111" si="29">H70-H71</f>
        <v>0</v>
      </c>
      <c r="J71" s="39" t="str">
        <f t="shared" si="25"/>
        <v>68,</v>
      </c>
      <c r="K71" s="39"/>
      <c r="L71" s="2">
        <f t="shared" si="21"/>
        <v>-7.7667571659180154E-3</v>
      </c>
      <c r="M71" s="4">
        <f t="shared" si="26"/>
        <v>4411.7647058823532</v>
      </c>
      <c r="Q71" s="17">
        <f t="shared" si="27"/>
        <v>2647.0588235294122</v>
      </c>
      <c r="R71" s="17">
        <f t="shared" si="28"/>
        <v>11.029411764705882</v>
      </c>
      <c r="V71">
        <v>4.0999999999999996</v>
      </c>
      <c r="W71" s="14">
        <f t="shared" ref="W71:W86" si="30" xml:space="preserve"> -66.667*POWER(V71,3) + 500*POWER(V71,2) - 833.33*V71</f>
        <v>393.59069300000056</v>
      </c>
    </row>
    <row r="72" spans="5:23" x14ac:dyDescent="0.25">
      <c r="E72" s="3"/>
      <c r="F72" s="3"/>
      <c r="G72" s="3">
        <f t="shared" si="20"/>
        <v>67.228437865788706</v>
      </c>
      <c r="H72" s="40">
        <f t="shared" si="24"/>
        <v>67</v>
      </c>
      <c r="I72" s="39">
        <f t="shared" si="29"/>
        <v>1</v>
      </c>
      <c r="J72" s="39" t="str">
        <f t="shared" si="25"/>
        <v>67,</v>
      </c>
      <c r="K72" s="39"/>
      <c r="L72" s="2">
        <f t="shared" si="21"/>
        <v>-7.6479753207008899E-3</v>
      </c>
      <c r="M72" s="4">
        <f t="shared" si="26"/>
        <v>4477.6119402985078</v>
      </c>
      <c r="Q72" s="17">
        <f t="shared" si="27"/>
        <v>2686.5671641791046</v>
      </c>
      <c r="R72" s="17">
        <f t="shared" si="28"/>
        <v>11.194029850746269</v>
      </c>
      <c r="V72">
        <v>4.2</v>
      </c>
      <c r="W72" s="14">
        <f t="shared" si="30"/>
        <v>380.78930399999945</v>
      </c>
    </row>
    <row r="73" spans="5:23" x14ac:dyDescent="0.25">
      <c r="E73" s="3"/>
      <c r="F73" s="3"/>
      <c r="G73" s="3">
        <f t="shared" si="20"/>
        <v>66.727743488881131</v>
      </c>
      <c r="H73" s="40">
        <f t="shared" si="24"/>
        <v>67</v>
      </c>
      <c r="I73" s="39">
        <f t="shared" si="29"/>
        <v>0</v>
      </c>
      <c r="J73" s="39" t="str">
        <f t="shared" si="25"/>
        <v>67,</v>
      </c>
      <c r="K73" s="39"/>
      <c r="L73" s="2">
        <f t="shared" si="21"/>
        <v>-7.532771429790355E-3</v>
      </c>
      <c r="M73" s="4">
        <f t="shared" si="26"/>
        <v>4477.6119402985078</v>
      </c>
      <c r="Q73" s="17">
        <f t="shared" si="27"/>
        <v>2686.5671641791046</v>
      </c>
      <c r="R73" s="17">
        <f t="shared" si="28"/>
        <v>11.194029850746269</v>
      </c>
      <c r="V73">
        <v>4.3</v>
      </c>
      <c r="W73" s="14">
        <f t="shared" si="30"/>
        <v>361.18783100000064</v>
      </c>
    </row>
    <row r="74" spans="5:23" x14ac:dyDescent="0.25">
      <c r="E74" s="3"/>
      <c r="F74" s="3"/>
      <c r="G74" s="3">
        <f t="shared" si="20"/>
        <v>66.238069970873227</v>
      </c>
      <c r="H74" s="40">
        <f t="shared" si="24"/>
        <v>66</v>
      </c>
      <c r="I74" s="39">
        <f t="shared" si="29"/>
        <v>1</v>
      </c>
      <c r="J74" s="39" t="str">
        <f t="shared" si="25"/>
        <v>66,</v>
      </c>
      <c r="K74" s="39"/>
      <c r="L74" s="2">
        <f t="shared" si="21"/>
        <v>-7.420986251863197E-3</v>
      </c>
      <c r="M74" s="4">
        <f t="shared" si="26"/>
        <v>4545.454545454545</v>
      </c>
      <c r="Q74" s="17">
        <f t="shared" si="27"/>
        <v>2727.272727272727</v>
      </c>
      <c r="R74" s="17">
        <f t="shared" si="28"/>
        <v>11.363636363636363</v>
      </c>
      <c r="V74">
        <v>4.4000000000000004</v>
      </c>
      <c r="W74" s="14">
        <f t="shared" si="30"/>
        <v>334.38627199999928</v>
      </c>
    </row>
    <row r="75" spans="5:23" x14ac:dyDescent="0.25">
      <c r="E75" s="3"/>
      <c r="F75" s="3"/>
      <c r="G75" s="3">
        <f t="shared" si="20"/>
        <v>65.759018925423277</v>
      </c>
      <c r="H75" s="40">
        <f t="shared" si="24"/>
        <v>66</v>
      </c>
      <c r="I75" s="39">
        <f t="shared" si="29"/>
        <v>0</v>
      </c>
      <c r="J75" s="39" t="str">
        <f t="shared" si="25"/>
        <v>66,</v>
      </c>
      <c r="K75" s="39"/>
      <c r="L75" s="2">
        <f t="shared" si="21"/>
        <v>-7.3124698557771621E-3</v>
      </c>
      <c r="M75" s="4">
        <f t="shared" si="26"/>
        <v>4545.454545454545</v>
      </c>
      <c r="Q75" s="17">
        <f t="shared" si="27"/>
        <v>2727.272727272727</v>
      </c>
      <c r="R75" s="17">
        <f t="shared" si="28"/>
        <v>11.363636363636363</v>
      </c>
      <c r="V75">
        <v>4.5</v>
      </c>
      <c r="W75" s="14">
        <f t="shared" si="30"/>
        <v>299.9846249999996</v>
      </c>
    </row>
    <row r="76" spans="5:23" x14ac:dyDescent="0.25">
      <c r="E76" s="3"/>
      <c r="F76" s="3"/>
      <c r="G76" s="3">
        <f t="shared" si="20"/>
        <v>65.290211836833492</v>
      </c>
      <c r="H76" s="40">
        <f t="shared" si="24"/>
        <v>65</v>
      </c>
      <c r="I76" s="39">
        <f t="shared" si="29"/>
        <v>1</v>
      </c>
      <c r="J76" s="39" t="str">
        <f t="shared" si="25"/>
        <v>65,</v>
      </c>
      <c r="K76" s="39"/>
      <c r="L76" s="2">
        <f t="shared" si="21"/>
        <v>-7.2070809500569613E-3</v>
      </c>
      <c r="M76" s="4">
        <f t="shared" si="26"/>
        <v>4615.3846153846152</v>
      </c>
      <c r="Q76" s="17">
        <f t="shared" si="27"/>
        <v>2769.2307692307695</v>
      </c>
      <c r="R76" s="17">
        <f t="shared" si="28"/>
        <v>11.538461538461538</v>
      </c>
      <c r="V76">
        <v>4.5999999999999996</v>
      </c>
      <c r="W76" s="14">
        <f t="shared" si="30"/>
        <v>257.58288800000037</v>
      </c>
    </row>
    <row r="77" spans="5:23" x14ac:dyDescent="0.25">
      <c r="E77" s="3"/>
      <c r="F77" s="3"/>
      <c r="G77" s="3">
        <f t="shared" si="20"/>
        <v>64.831288803890914</v>
      </c>
      <c r="H77" s="40">
        <f t="shared" si="24"/>
        <v>65</v>
      </c>
      <c r="I77" s="39">
        <f t="shared" si="29"/>
        <v>0</v>
      </c>
      <c r="J77" s="39" t="str">
        <f t="shared" si="25"/>
        <v>65,</v>
      </c>
      <c r="K77" s="39"/>
      <c r="L77" s="2">
        <f t="shared" si="21"/>
        <v>-7.1046862694976532E-3</v>
      </c>
      <c r="M77" s="4">
        <f t="shared" si="26"/>
        <v>4615.3846153846152</v>
      </c>
      <c r="Q77" s="17">
        <f t="shared" si="27"/>
        <v>2769.2307692307695</v>
      </c>
      <c r="R77" s="17">
        <f t="shared" si="28"/>
        <v>11.538461538461538</v>
      </c>
      <c r="V77">
        <v>4.7</v>
      </c>
      <c r="W77" s="14">
        <f t="shared" si="30"/>
        <v>206.78105899999946</v>
      </c>
    </row>
    <row r="78" spans="5:23" x14ac:dyDescent="0.25">
      <c r="E78" s="3"/>
      <c r="F78" s="3"/>
      <c r="G78" s="3">
        <f t="shared" si="20"/>
        <v>64.381907379404794</v>
      </c>
      <c r="H78" s="40">
        <f t="shared" si="24"/>
        <v>64</v>
      </c>
      <c r="I78" s="39">
        <f t="shared" si="29"/>
        <v>1</v>
      </c>
      <c r="J78" s="39" t="str">
        <f t="shared" si="25"/>
        <v>64,</v>
      </c>
      <c r="K78" s="39"/>
      <c r="L78" s="2">
        <f t="shared" si="21"/>
        <v>-7.0051600132891856E-3</v>
      </c>
      <c r="M78" s="4">
        <f t="shared" si="26"/>
        <v>4687.5</v>
      </c>
      <c r="Q78" s="17">
        <f t="shared" si="27"/>
        <v>2812.5</v>
      </c>
      <c r="R78" s="17">
        <f t="shared" si="28"/>
        <v>11.71875</v>
      </c>
      <c r="V78">
        <v>4.8</v>
      </c>
      <c r="W78" s="14">
        <f t="shared" si="30"/>
        <v>147.1791360000002</v>
      </c>
    </row>
    <row r="79" spans="5:23" x14ac:dyDescent="0.25">
      <c r="E79" s="3"/>
      <c r="F79" s="3"/>
      <c r="G79" s="3">
        <f t="shared" si="20"/>
        <v>63.941741496943763</v>
      </c>
      <c r="H79" s="40">
        <f t="shared" si="24"/>
        <v>64</v>
      </c>
      <c r="I79" s="39">
        <f t="shared" si="29"/>
        <v>0</v>
      </c>
      <c r="J79" s="39" t="str">
        <f t="shared" si="25"/>
        <v>64,</v>
      </c>
      <c r="K79" s="39"/>
      <c r="L79" s="2">
        <f t="shared" si="21"/>
        <v>-6.9083833296837626E-3</v>
      </c>
      <c r="M79" s="4">
        <f t="shared" si="26"/>
        <v>4687.5</v>
      </c>
      <c r="Q79" s="17">
        <f t="shared" si="27"/>
        <v>2812.5</v>
      </c>
      <c r="R79" s="17">
        <f t="shared" si="28"/>
        <v>11.71875</v>
      </c>
      <c r="V79">
        <v>4.9000000000000004</v>
      </c>
      <c r="W79" s="14">
        <f t="shared" si="30"/>
        <v>78.377116999999544</v>
      </c>
    </row>
    <row r="80" spans="5:23" x14ac:dyDescent="0.25">
      <c r="E80" s="3"/>
      <c r="F80" s="3"/>
      <c r="G80" s="3">
        <f t="shared" si="20"/>
        <v>63.510480477134571</v>
      </c>
      <c r="H80" s="40">
        <f t="shared" si="24"/>
        <v>64</v>
      </c>
      <c r="I80" s="39">
        <f t="shared" si="29"/>
        <v>0</v>
      </c>
      <c r="J80" s="39" t="str">
        <f t="shared" si="25"/>
        <v>64,</v>
      </c>
      <c r="K80" s="39"/>
      <c r="L80" s="2">
        <f t="shared" si="21"/>
        <v>-6.8142438427699669E-3</v>
      </c>
      <c r="M80" s="4">
        <f t="shared" si="26"/>
        <v>4687.5</v>
      </c>
      <c r="Q80" s="17">
        <f t="shared" si="27"/>
        <v>2812.5</v>
      </c>
      <c r="R80" s="17">
        <f t="shared" ref="R80:R88" si="31">Q80/60</f>
        <v>46.875</v>
      </c>
      <c r="V80">
        <v>5</v>
      </c>
      <c r="W80" s="14">
        <f t="shared" si="30"/>
        <v>-2.5000000000545697E-2</v>
      </c>
    </row>
    <row r="81" spans="5:23" x14ac:dyDescent="0.25">
      <c r="E81" s="3"/>
      <c r="F81" s="3"/>
      <c r="G81" s="3">
        <f t="shared" si="20"/>
        <v>63.087828106645972</v>
      </c>
      <c r="H81" s="40">
        <f t="shared" si="24"/>
        <v>63</v>
      </c>
      <c r="I81" s="39">
        <f t="shared" si="29"/>
        <v>1</v>
      </c>
      <c r="J81" s="39" t="str">
        <f t="shared" si="25"/>
        <v>63,</v>
      </c>
      <c r="K81" s="39"/>
      <c r="L81" s="2">
        <f t="shared" si="21"/>
        <v>-6.7226352173941524E-3</v>
      </c>
      <c r="M81" s="4">
        <f t="shared" si="26"/>
        <v>4761.9047619047615</v>
      </c>
      <c r="Q81" s="17">
        <f t="shared" si="27"/>
        <v>2857.1428571428569</v>
      </c>
      <c r="R81" s="17">
        <f t="shared" si="31"/>
        <v>47.619047619047613</v>
      </c>
      <c r="V81">
        <v>5.0999999999999996</v>
      </c>
      <c r="W81" s="14">
        <f t="shared" si="30"/>
        <v>-88.427217000000383</v>
      </c>
    </row>
    <row r="82" spans="5:23" x14ac:dyDescent="0.25">
      <c r="E82" s="3"/>
      <c r="F82" s="3"/>
      <c r="G82" s="3">
        <f t="shared" si="20"/>
        <v>62.673501783657848</v>
      </c>
      <c r="H82" s="40">
        <f t="shared" si="24"/>
        <v>63</v>
      </c>
      <c r="I82" s="39">
        <f t="shared" si="29"/>
        <v>0</v>
      </c>
      <c r="J82" s="39" t="str">
        <f t="shared" si="25"/>
        <v>63,</v>
      </c>
      <c r="K82" s="39"/>
      <c r="L82" s="2">
        <f t="shared" si="21"/>
        <v>-6.633456758689516E-3</v>
      </c>
      <c r="M82" s="4">
        <f t="shared" si="26"/>
        <v>4761.9047619047615</v>
      </c>
      <c r="Q82" s="17">
        <f t="shared" si="27"/>
        <v>2857.1428571428569</v>
      </c>
      <c r="R82" s="17">
        <f t="shared" si="31"/>
        <v>47.619047619047613</v>
      </c>
      <c r="V82">
        <v>5.2</v>
      </c>
      <c r="W82" s="14">
        <f t="shared" si="30"/>
        <v>-187.22953600000073</v>
      </c>
    </row>
    <row r="83" spans="5:23" x14ac:dyDescent="0.25">
      <c r="E83" s="3"/>
      <c r="F83" s="3"/>
      <c r="G83" s="3">
        <f t="shared" si="20"/>
        <v>62.267231724217886</v>
      </c>
      <c r="H83" s="40">
        <f t="shared" si="24"/>
        <v>62</v>
      </c>
      <c r="I83" s="39">
        <f t="shared" si="29"/>
        <v>1</v>
      </c>
      <c r="J83" s="39" t="str">
        <f t="shared" si="25"/>
        <v>62,</v>
      </c>
      <c r="K83" s="39"/>
      <c r="L83" s="2">
        <f t="shared" si="21"/>
        <v>-6.5466130430436057E-3</v>
      </c>
      <c r="M83" s="4">
        <f t="shared" si="26"/>
        <v>4838.7096774193551</v>
      </c>
      <c r="Q83" s="17">
        <f t="shared" si="27"/>
        <v>2903.2258064516132</v>
      </c>
      <c r="R83" s="17">
        <f t="shared" si="31"/>
        <v>48.387096774193552</v>
      </c>
      <c r="V83">
        <v>5.3</v>
      </c>
      <c r="W83" s="14">
        <f t="shared" si="30"/>
        <v>-296.8319590000001</v>
      </c>
    </row>
    <row r="84" spans="5:23" x14ac:dyDescent="0.25">
      <c r="E84" s="3"/>
      <c r="F84" s="3"/>
      <c r="G84" s="3">
        <f t="shared" si="20"/>
        <v>61.868760224424967</v>
      </c>
      <c r="H84" s="40">
        <f t="shared" si="24"/>
        <v>62</v>
      </c>
      <c r="I84" s="39">
        <f t="shared" si="29"/>
        <v>0</v>
      </c>
      <c r="J84" s="39" t="str">
        <f t="shared" si="25"/>
        <v>62,</v>
      </c>
      <c r="K84" s="39"/>
      <c r="L84" s="2">
        <f t="shared" si="21"/>
        <v>-6.4620135776624109E-3</v>
      </c>
      <c r="M84" s="4">
        <f t="shared" si="26"/>
        <v>4838.7096774193551</v>
      </c>
      <c r="Q84" s="17">
        <f t="shared" si="27"/>
        <v>2903.2258064516132</v>
      </c>
      <c r="R84" s="17">
        <f t="shared" si="31"/>
        <v>48.387096774193552</v>
      </c>
      <c r="V84">
        <v>5.4</v>
      </c>
      <c r="W84" s="14">
        <f t="shared" si="30"/>
        <v>-417.6344880000006</v>
      </c>
    </row>
    <row r="85" spans="5:23" x14ac:dyDescent="0.25">
      <c r="E85" s="3"/>
      <c r="F85" s="3"/>
      <c r="G85" s="3">
        <f t="shared" si="20"/>
        <v>61.477840973857489</v>
      </c>
      <c r="H85" s="40">
        <f t="shared" si="24"/>
        <v>61</v>
      </c>
      <c r="I85" s="39">
        <f t="shared" si="29"/>
        <v>1</v>
      </c>
      <c r="J85" s="39" t="str">
        <f t="shared" si="25"/>
        <v>61,</v>
      </c>
      <c r="K85" s="39"/>
      <c r="L85" s="2">
        <f t="shared" si="21"/>
        <v>-6.3795724861789816E-3</v>
      </c>
      <c r="M85" s="4">
        <f t="shared" si="26"/>
        <v>4918.0327868852455</v>
      </c>
      <c r="Q85" s="17">
        <f t="shared" si="27"/>
        <v>2950.8196721311474</v>
      </c>
      <c r="R85" s="17">
        <f t="shared" si="31"/>
        <v>49.180327868852459</v>
      </c>
      <c r="V85">
        <v>5.5</v>
      </c>
      <c r="W85" s="14">
        <f t="shared" si="30"/>
        <v>-550.03712500000074</v>
      </c>
    </row>
    <row r="86" spans="5:23" x14ac:dyDescent="0.25">
      <c r="E86" s="3"/>
      <c r="F86" s="3"/>
      <c r="G86" s="3">
        <f t="shared" si="20"/>
        <v>61.094238416093354</v>
      </c>
      <c r="H86" s="40">
        <f t="shared" si="24"/>
        <v>61</v>
      </c>
      <c r="I86" s="39">
        <f t="shared" si="29"/>
        <v>0</v>
      </c>
      <c r="J86" s="39" t="str">
        <f t="shared" si="25"/>
        <v>61,</v>
      </c>
      <c r="K86" s="39"/>
      <c r="L86" s="2">
        <f t="shared" si="21"/>
        <v>-6.2992082180115183E-3</v>
      </c>
      <c r="M86" s="4">
        <f t="shared" si="26"/>
        <v>4918.0327868852455</v>
      </c>
      <c r="Q86" s="17">
        <f t="shared" si="27"/>
        <v>2950.8196721311474</v>
      </c>
      <c r="R86" s="17">
        <f t="shared" si="31"/>
        <v>49.180327868852459</v>
      </c>
      <c r="V86">
        <v>5.6</v>
      </c>
      <c r="W86" s="14">
        <f t="shared" si="30"/>
        <v>-694.43987199999992</v>
      </c>
    </row>
    <row r="87" spans="5:23" x14ac:dyDescent="0.25">
      <c r="E87" s="3"/>
      <c r="F87" s="3"/>
      <c r="G87" s="3">
        <f t="shared" si="20"/>
        <v>60.717727152551873</v>
      </c>
      <c r="H87" s="40">
        <f t="shared" si="24"/>
        <v>61</v>
      </c>
      <c r="I87" s="39">
        <f t="shared" si="29"/>
        <v>0</v>
      </c>
      <c r="J87" s="39" t="str">
        <f t="shared" si="25"/>
        <v>61,</v>
      </c>
      <c r="K87" s="39"/>
      <c r="L87" s="2">
        <f t="shared" si="21"/>
        <v>-6.2208432794040956E-3</v>
      </c>
      <c r="M87" s="4">
        <f t="shared" si="26"/>
        <v>4918.0327868852455</v>
      </c>
      <c r="Q87" s="17">
        <f t="shared" si="27"/>
        <v>2950.8196721311474</v>
      </c>
      <c r="R87" s="17">
        <f t="shared" si="31"/>
        <v>49.180327868852459</v>
      </c>
    </row>
    <row r="88" spans="5:23" x14ac:dyDescent="0.25">
      <c r="E88" s="3"/>
      <c r="F88" s="3"/>
      <c r="G88" s="3">
        <f t="shared" si="20"/>
        <v>60.348091386231673</v>
      </c>
      <c r="H88" s="40">
        <f t="shared" si="24"/>
        <v>60</v>
      </c>
      <c r="I88" s="39">
        <f t="shared" si="29"/>
        <v>1</v>
      </c>
      <c r="J88" s="39" t="str">
        <f t="shared" si="25"/>
        <v>60,</v>
      </c>
      <c r="K88" s="39"/>
      <c r="L88" s="2">
        <f t="shared" si="21"/>
        <v>-6.1444039842862251E-3</v>
      </c>
      <c r="M88" s="4">
        <f t="shared" si="26"/>
        <v>5000</v>
      </c>
      <c r="Q88" s="17">
        <f t="shared" si="27"/>
        <v>3000</v>
      </c>
      <c r="R88" s="17">
        <f t="shared" si="31"/>
        <v>50</v>
      </c>
    </row>
    <row r="89" spans="5:23" x14ac:dyDescent="0.25">
      <c r="E89" s="3"/>
      <c r="F89" s="3"/>
      <c r="G89" s="3">
        <f t="shared" si="20"/>
        <v>59.985124402227662</v>
      </c>
      <c r="H89" s="40">
        <f t="shared" si="24"/>
        <v>60</v>
      </c>
      <c r="I89" s="39">
        <f t="shared" si="29"/>
        <v>0</v>
      </c>
      <c r="J89" s="39" t="str">
        <f t="shared" si="25"/>
        <v>60,</v>
      </c>
      <c r="K89" s="39"/>
      <c r="L89" s="2">
        <f t="shared" si="21"/>
        <v>-6.0698202232682824E-3</v>
      </c>
      <c r="M89" s="4">
        <f t="shared" si="26"/>
        <v>5000</v>
      </c>
      <c r="Q89" s="17">
        <f t="shared" si="27"/>
        <v>3000</v>
      </c>
      <c r="R89" s="17"/>
    </row>
    <row r="90" spans="5:23" x14ac:dyDescent="0.25">
      <c r="E90" s="3"/>
      <c r="F90" s="3"/>
      <c r="G90" s="3">
        <f t="shared" si="20"/>
        <v>59.628628082187689</v>
      </c>
      <c r="H90" s="40">
        <f t="shared" si="24"/>
        <v>60</v>
      </c>
      <c r="I90" s="39">
        <f t="shared" si="29"/>
        <v>0</v>
      </c>
      <c r="J90" s="39" t="str">
        <f t="shared" si="25"/>
        <v>60,</v>
      </c>
      <c r="K90" s="39"/>
      <c r="L90" s="2">
        <f t="shared" si="21"/>
        <v>-5.9970252492512147E-3</v>
      </c>
      <c r="M90" s="4">
        <f t="shared" si="26"/>
        <v>5000</v>
      </c>
      <c r="Q90" s="17">
        <f t="shared" si="27"/>
        <v>3000</v>
      </c>
      <c r="R90" s="17"/>
    </row>
    <row r="91" spans="5:23" x14ac:dyDescent="0.25">
      <c r="E91" s="3"/>
      <c r="F91" s="3"/>
      <c r="G91" s="3">
        <f t="shared" si="20"/>
        <v>59.278412450119212</v>
      </c>
      <c r="H91" s="40">
        <f t="shared" si="24"/>
        <v>59</v>
      </c>
      <c r="I91" s="39">
        <f t="shared" si="29"/>
        <v>1</v>
      </c>
      <c r="J91" s="39" t="str">
        <f t="shared" si="25"/>
        <v>59,</v>
      </c>
      <c r="K91" s="39"/>
      <c r="L91" s="2">
        <f t="shared" si="21"/>
        <v>-5.9259554782731044E-3</v>
      </c>
      <c r="M91" s="4">
        <f t="shared" si="26"/>
        <v>5084.7457627118647</v>
      </c>
    </row>
    <row r="92" spans="5:23" x14ac:dyDescent="0.25">
      <c r="E92" s="3"/>
      <c r="F92" s="3"/>
      <c r="G92" s="3">
        <f t="shared" si="20"/>
        <v>58.934295247182014</v>
      </c>
      <c r="H92" s="40">
        <f t="shared" si="24"/>
        <v>59</v>
      </c>
      <c r="I92" s="39">
        <f t="shared" si="29"/>
        <v>0</v>
      </c>
      <c r="J92" s="39" t="str">
        <f t="shared" si="25"/>
        <v>59,</v>
      </c>
      <c r="K92" s="39"/>
      <c r="L92" s="2">
        <f t="shared" si="21"/>
        <v>-5.8565503043440806E-3</v>
      </c>
      <c r="M92" s="4">
        <f t="shared" si="26"/>
        <v>5084.7457627118647</v>
      </c>
    </row>
    <row r="93" spans="5:23" x14ac:dyDescent="0.25">
      <c r="E93" s="3"/>
      <c r="F93" s="3"/>
      <c r="G93" s="3">
        <f t="shared" si="20"/>
        <v>58.596101533305998</v>
      </c>
      <c r="H93" s="40">
        <f t="shared" si="24"/>
        <v>59</v>
      </c>
      <c r="I93" s="39">
        <f t="shared" si="29"/>
        <v>0</v>
      </c>
      <c r="J93" s="39" t="str">
        <f t="shared" si="25"/>
        <v>59,</v>
      </c>
      <c r="K93" s="39"/>
      <c r="L93" s="2">
        <f t="shared" si="21"/>
        <v>-5.7887519271367007E-3</v>
      </c>
      <c r="M93" s="4">
        <f t="shared" si="26"/>
        <v>5084.7457627118647</v>
      </c>
    </row>
    <row r="94" spans="5:23" x14ac:dyDescent="0.25">
      <c r="E94" s="3"/>
      <c r="F94" s="3"/>
      <c r="G94" s="3">
        <f t="shared" si="20"/>
        <v>58.263663313656934</v>
      </c>
      <c r="H94" s="40">
        <f t="shared" si="24"/>
        <v>58</v>
      </c>
      <c r="I94" s="39">
        <f t="shared" si="29"/>
        <v>1</v>
      </c>
      <c r="J94" s="39" t="str">
        <f t="shared" si="25"/>
        <v>58,</v>
      </c>
      <c r="K94" s="39"/>
      <c r="L94" s="2">
        <f t="shared" si="21"/>
        <v>-5.7225051915025093E-3</v>
      </c>
      <c r="M94" s="4">
        <f t="shared" si="26"/>
        <v>5172.4137931034484</v>
      </c>
    </row>
    <row r="95" spans="5:23" x14ac:dyDescent="0.25">
      <c r="E95" s="3"/>
      <c r="F95" s="3"/>
      <c r="G95" s="3">
        <f t="shared" si="20"/>
        <v>57.936819188139395</v>
      </c>
      <c r="H95" s="40">
        <f t="shared" si="24"/>
        <v>58</v>
      </c>
      <c r="I95" s="39">
        <f t="shared" si="29"/>
        <v>0</v>
      </c>
      <c r="J95" s="39" t="str">
        <f t="shared" si="25"/>
        <v>58,</v>
      </c>
      <c r="K95" s="39"/>
      <c r="L95" s="2">
        <f t="shared" si="21"/>
        <v>-5.6577574378786216E-3</v>
      </c>
      <c r="M95" s="4">
        <f t="shared" si="26"/>
        <v>5172.4137931034484</v>
      </c>
    </row>
    <row r="96" spans="5:23" x14ac:dyDescent="0.25">
      <c r="E96" s="3"/>
      <c r="F96" s="3"/>
      <c r="G96" s="3">
        <f t="shared" si="20"/>
        <v>57.615414022276411</v>
      </c>
      <c r="H96" s="40">
        <f t="shared" si="24"/>
        <v>58</v>
      </c>
      <c r="I96" s="39">
        <f t="shared" si="29"/>
        <v>0</v>
      </c>
      <c r="J96" s="39" t="str">
        <f t="shared" si="25"/>
        <v>58,</v>
      </c>
      <c r="K96" s="39"/>
      <c r="L96" s="2">
        <f t="shared" si="21"/>
        <v>-5.5944583627319288E-3</v>
      </c>
      <c r="M96" s="4">
        <f t="shared" si="26"/>
        <v>5172.4137931034484</v>
      </c>
    </row>
    <row r="97" spans="5:13" x14ac:dyDescent="0.25">
      <c r="E97" s="3"/>
      <c r="F97" s="3"/>
      <c r="G97" s="3">
        <f t="shared" si="20"/>
        <v>57.299298637942272</v>
      </c>
      <c r="H97" s="40">
        <f t="shared" si="24"/>
        <v>57</v>
      </c>
      <c r="I97" s="39">
        <f t="shared" si="29"/>
        <v>1</v>
      </c>
      <c r="J97" s="39" t="str">
        <f t="shared" si="25"/>
        <v>57,</v>
      </c>
      <c r="K97" s="39"/>
      <c r="L97" s="2">
        <f t="shared" si="21"/>
        <v>-5.532559888263875E-3</v>
      </c>
      <c r="M97" s="4">
        <f t="shared" si="26"/>
        <v>5263.1578947368425</v>
      </c>
    </row>
    <row r="98" spans="5:13" x14ac:dyDescent="0.25">
      <c r="E98" s="3"/>
      <c r="F98" s="3"/>
      <c r="G98" s="3">
        <f t="shared" si="20"/>
        <v>56.988329522548476</v>
      </c>
      <c r="H98" s="40">
        <f t="shared" si="24"/>
        <v>57</v>
      </c>
      <c r="I98" s="39">
        <f t="shared" si="29"/>
        <v>0</v>
      </c>
      <c r="J98" s="39" t="str">
        <f t="shared" si="25"/>
        <v>57,</v>
      </c>
      <c r="K98" s="39"/>
      <c r="L98" s="2">
        <f t="shared" si="21"/>
        <v>-5.472016040666822E-3</v>
      </c>
      <c r="M98" s="4">
        <f t="shared" si="26"/>
        <v>5263.1578947368425</v>
      </c>
    </row>
    <row r="99" spans="5:13" x14ac:dyDescent="0.25">
      <c r="E99" s="3"/>
      <c r="F99" s="3"/>
      <c r="G99" s="3">
        <f t="shared" si="20"/>
        <v>56.682368555395826</v>
      </c>
      <c r="H99" s="40">
        <f t="shared" si="24"/>
        <v>57</v>
      </c>
      <c r="I99" s="39">
        <f t="shared" si="29"/>
        <v>0</v>
      </c>
      <c r="J99" s="39" t="str">
        <f t="shared" si="25"/>
        <v>57,</v>
      </c>
      <c r="K99" s="39"/>
      <c r="L99" s="2">
        <f t="shared" si="21"/>
        <v>-5.4127828362842837E-3</v>
      </c>
      <c r="M99" s="4">
        <f t="shared" si="26"/>
        <v>5263.1578947368425</v>
      </c>
    </row>
    <row r="100" spans="5:13" x14ac:dyDescent="0.25">
      <c r="E100" s="3"/>
      <c r="F100" s="3"/>
      <c r="G100" s="3">
        <f t="shared" si="20"/>
        <v>56.381282750007905</v>
      </c>
      <c r="H100" s="40">
        <f t="shared" si="24"/>
        <v>56</v>
      </c>
      <c r="I100" s="39">
        <f t="shared" si="29"/>
        <v>1</v>
      </c>
      <c r="J100" s="39" t="str">
        <f t="shared" si="25"/>
        <v>56,</v>
      </c>
      <c r="K100" s="39"/>
      <c r="L100" s="2">
        <f t="shared" si="21"/>
        <v>-5.3548181750828761E-3</v>
      </c>
      <c r="M100" s="4">
        <f t="shared" si="26"/>
        <v>5357.1428571428569</v>
      </c>
    </row>
    <row r="101" spans="5:13" x14ac:dyDescent="0.25">
      <c r="E101" s="3"/>
      <c r="F101" s="3"/>
      <c r="G101" s="3">
        <f t="shared" si="20"/>
        <v>56.084944011354636</v>
      </c>
      <c r="H101" s="40">
        <f t="shared" si="24"/>
        <v>56</v>
      </c>
      <c r="I101" s="39">
        <f t="shared" si="29"/>
        <v>0</v>
      </c>
      <c r="J101" s="39" t="str">
        <f t="shared" si="25"/>
        <v>56,</v>
      </c>
      <c r="K101" s="39"/>
      <c r="L101" s="2">
        <f t="shared" si="21"/>
        <v>-5.2980817408938988E-3</v>
      </c>
      <c r="M101" s="4">
        <f t="shared" si="26"/>
        <v>5357.1428571428569</v>
      </c>
    </row>
    <row r="102" spans="5:13" x14ac:dyDescent="0.25">
      <c r="E102" s="3"/>
      <c r="F102" s="3"/>
      <c r="G102" s="3">
        <f t="shared" si="20"/>
        <v>55.793228906959598</v>
      </c>
      <c r="H102" s="40">
        <f t="shared" si="24"/>
        <v>56</v>
      </c>
      <c r="I102" s="39">
        <f t="shared" si="29"/>
        <v>0</v>
      </c>
      <c r="J102" s="39" t="str">
        <f t="shared" si="25"/>
        <v>56,</v>
      </c>
      <c r="K102" s="39"/>
      <c r="L102" s="2">
        <f t="shared" si="21"/>
        <v>-5.2425349079279742E-3</v>
      </c>
      <c r="M102" s="4">
        <f t="shared" si="26"/>
        <v>5357.1428571428569</v>
      </c>
    </row>
    <row r="103" spans="5:13" x14ac:dyDescent="0.25">
      <c r="E103" s="3"/>
      <c r="F103" s="3"/>
      <c r="G103" s="3">
        <f t="shared" si="20"/>
        <v>55.506018450962635</v>
      </c>
      <c r="H103" s="40">
        <f t="shared" si="24"/>
        <v>56</v>
      </c>
      <c r="I103" s="39">
        <f t="shared" si="29"/>
        <v>0</v>
      </c>
      <c r="J103" s="39" t="str">
        <f t="shared" si="25"/>
        <v>56,</v>
      </c>
      <c r="K103" s="39"/>
      <c r="L103" s="2">
        <f t="shared" si="21"/>
        <v>-5.1881406531073199E-3</v>
      </c>
      <c r="M103" s="4">
        <f t="shared" si="26"/>
        <v>5357.1428571428569</v>
      </c>
    </row>
    <row r="104" spans="5:13" x14ac:dyDescent="0.25">
      <c r="E104" s="3"/>
      <c r="F104" s="3"/>
      <c r="G104" s="3">
        <f t="shared" si="20"/>
        <v>55.223197900279963</v>
      </c>
      <c r="H104" s="40">
        <f t="shared" si="24"/>
        <v>55</v>
      </c>
      <c r="I104" s="39">
        <f t="shared" si="29"/>
        <v>1</v>
      </c>
      <c r="J104" s="39" t="str">
        <f t="shared" si="25"/>
        <v>55,</v>
      </c>
      <c r="K104" s="39"/>
      <c r="L104" s="2">
        <f t="shared" si="21"/>
        <v>-5.1348634737976746E-3</v>
      </c>
      <c r="M104" s="4">
        <f t="shared" si="26"/>
        <v>5454.545454545455</v>
      </c>
    </row>
    <row r="105" spans="5:13" x14ac:dyDescent="0.25">
      <c r="E105" s="3"/>
      <c r="F105" s="3"/>
      <c r="G105" s="3">
        <f t="shared" si="20"/>
        <v>54.944656562068978</v>
      </c>
      <c r="H105" s="40">
        <f t="shared" si="24"/>
        <v>55</v>
      </c>
      <c r="I105" s="39">
        <f t="shared" si="29"/>
        <v>0</v>
      </c>
      <c r="J105" s="39" t="str">
        <f t="shared" si="25"/>
        <v>55,</v>
      </c>
      <c r="K105" s="39"/>
      <c r="L105" s="2">
        <f t="shared" si="21"/>
        <v>-5.0826693105558091E-3</v>
      </c>
      <c r="M105" s="4">
        <f t="shared" si="26"/>
        <v>5454.545454545455</v>
      </c>
    </row>
    <row r="106" spans="5:13" x14ac:dyDescent="0.25">
      <c r="E106" s="3"/>
      <c r="F106" s="3"/>
      <c r="G106" s="3">
        <f t="shared" si="20"/>
        <v>54.67028761176433</v>
      </c>
      <c r="H106" s="40">
        <f t="shared" si="24"/>
        <v>55</v>
      </c>
      <c r="I106" s="39">
        <f t="shared" si="29"/>
        <v>0</v>
      </c>
      <c r="J106" s="39" t="str">
        <f t="shared" si="25"/>
        <v>55,</v>
      </c>
      <c r="K106" s="39"/>
      <c r="L106" s="2">
        <f t="shared" si="21"/>
        <v>-5.0315254745395164E-3</v>
      </c>
      <c r="M106" s="4">
        <f t="shared" si="26"/>
        <v>5454.545454545455</v>
      </c>
    </row>
    <row r="107" spans="5:13" x14ac:dyDescent="0.25">
      <c r="E107" s="3"/>
      <c r="F107" s="3"/>
      <c r="G107" s="3">
        <f t="shared" si="20"/>
        <v>54.399987921006101</v>
      </c>
      <c r="H107" s="40">
        <f t="shared" si="24"/>
        <v>54</v>
      </c>
      <c r="I107" s="39">
        <f t="shared" si="29"/>
        <v>1</v>
      </c>
      <c r="J107" s="39" t="str">
        <f t="shared" si="25"/>
        <v>54,</v>
      </c>
      <c r="K107" s="39"/>
      <c r="L107" s="2">
        <f t="shared" si="21"/>
        <v>-4.9814005792550541E-3</v>
      </c>
      <c r="M107" s="4">
        <f t="shared" si="26"/>
        <v>5555.5555555555557</v>
      </c>
    </row>
    <row r="108" spans="5:13" x14ac:dyDescent="0.25">
      <c r="E108" s="3"/>
      <c r="F108" s="3"/>
      <c r="G108" s="3">
        <f t="shared" si="20"/>
        <v>54.133657894830833</v>
      </c>
      <c r="H108" s="40">
        <f t="shared" si="24"/>
        <v>54</v>
      </c>
      <c r="I108" s="39">
        <f t="shared" si="29"/>
        <v>0</v>
      </c>
      <c r="J108" s="39" t="str">
        <f t="shared" si="25"/>
        <v>54,</v>
      </c>
      <c r="K108" s="39"/>
      <c r="L108" s="2">
        <f t="shared" si="21"/>
        <v>-4.9322644763426828E-3</v>
      </c>
      <c r="M108" s="4">
        <f t="shared" si="26"/>
        <v>5555.5555555555557</v>
      </c>
    </row>
    <row r="109" spans="5:13" x14ac:dyDescent="0.25">
      <c r="E109" s="3"/>
      <c r="F109" s="3"/>
      <c r="G109" s="3">
        <f t="shared" si="20"/>
        <v>53.871201317541896</v>
      </c>
      <c r="H109" s="40">
        <f t="shared" si="24"/>
        <v>54</v>
      </c>
      <c r="I109" s="39">
        <f t="shared" si="29"/>
        <v>0</v>
      </c>
      <c r="J109" s="39" t="str">
        <f t="shared" si="25"/>
        <v>54,</v>
      </c>
      <c r="K109" s="39"/>
      <c r="L109" s="2">
        <f t="shared" si="21"/>
        <v>-4.8840881951243012E-3</v>
      </c>
      <c r="M109" s="4">
        <f t="shared" si="26"/>
        <v>5555.5555555555557</v>
      </c>
    </row>
    <row r="110" spans="5:13" x14ac:dyDescent="0.25">
      <c r="E110" s="3"/>
      <c r="F110" s="3"/>
      <c r="G110" s="3">
        <f t="shared" si="20"/>
        <v>53.612525206717656</v>
      </c>
      <c r="H110" s="40">
        <f t="shared" si="24"/>
        <v>54</v>
      </c>
      <c r="I110" s="39">
        <f t="shared" si="29"/>
        <v>0</v>
      </c>
      <c r="J110" s="39" t="str">
        <f t="shared" si="25"/>
        <v>54,</v>
      </c>
      <c r="K110" s="39"/>
      <c r="L110" s="2">
        <f t="shared" si="21"/>
        <v>-4.836843885658546E-3</v>
      </c>
      <c r="M110" s="4">
        <f t="shared" si="26"/>
        <v>5555.5555555555557</v>
      </c>
    </row>
    <row r="111" spans="5:13" x14ac:dyDescent="0.25">
      <c r="E111" s="3"/>
      <c r="F111" s="3"/>
      <c r="G111" s="3">
        <f t="shared" si="20"/>
        <v>53.357539674854472</v>
      </c>
      <c r="H111" s="40">
        <f t="shared" si="24"/>
        <v>53</v>
      </c>
      <c r="I111" s="39">
        <f t="shared" si="29"/>
        <v>1</v>
      </c>
      <c r="J111" s="39" t="str">
        <f t="shared" si="25"/>
        <v>53,</v>
      </c>
      <c r="K111" s="39"/>
      <c r="L111" s="2">
        <f t="shared" si="21"/>
        <v>-4.7905047650682268E-3</v>
      </c>
      <c r="M111" s="4">
        <f t="shared" si="26"/>
        <v>5660.3773584905657</v>
      </c>
    </row>
    <row r="112" spans="5:13" x14ac:dyDescent="0.25">
      <c r="E112" s="3"/>
      <c r="F112" s="3"/>
      <c r="G112" s="3">
        <f t="shared" si="20"/>
        <v>53.106157798177243</v>
      </c>
      <c r="L112" s="2">
        <f t="shared" si="21"/>
        <v>-4.7450450669227814E-3</v>
      </c>
    </row>
    <row r="113" spans="5:12" x14ac:dyDescent="0.25">
      <c r="E113" s="3"/>
      <c r="F113" s="3"/>
      <c r="G113" s="3">
        <f t="shared" ref="G113:G169" si="32">G112*(1+L113+1.5*L113*L113)</f>
        <v>52.858295492182691</v>
      </c>
      <c r="L113" s="2">
        <f t="shared" ref="L113:L152" si="33">-1*$B$22*G112*G112</f>
        <v>-4.7004399934748361E-3</v>
      </c>
    </row>
    <row r="114" spans="5:12" x14ac:dyDescent="0.25">
      <c r="E114" s="3"/>
      <c r="F114" s="3"/>
      <c r="G114" s="3">
        <f t="shared" si="32"/>
        <v>52.613871393510905</v>
      </c>
      <c r="L114" s="2">
        <f t="shared" si="33"/>
        <v>-4.6566656705648345E-3</v>
      </c>
    </row>
    <row r="115" spans="5:12" x14ac:dyDescent="0.25">
      <c r="E115" s="3"/>
      <c r="F115" s="3"/>
      <c r="G115" s="3">
        <f t="shared" si="32"/>
        <v>52.372806747768394</v>
      </c>
      <c r="L115" s="2">
        <f t="shared" si="33"/>
        <v>-4.6136991050215086E-3</v>
      </c>
    </row>
    <row r="116" spans="5:12" x14ac:dyDescent="0.25">
      <c r="E116" s="3"/>
      <c r="F116" s="3"/>
      <c r="G116" s="3">
        <f t="shared" si="32"/>
        <v>52.135025302951441</v>
      </c>
      <c r="L116" s="2">
        <f t="shared" si="33"/>
        <v>-4.5715181443984915E-3</v>
      </c>
    </row>
    <row r="117" spans="5:12" x14ac:dyDescent="0.25">
      <c r="E117" s="3"/>
      <c r="F117" s="3"/>
      <c r="G117" s="3">
        <f t="shared" si="32"/>
        <v>51.900453208142402</v>
      </c>
      <c r="L117" s="2">
        <f t="shared" si="33"/>
        <v>-4.5301014388989778E-3</v>
      </c>
    </row>
    <row r="118" spans="5:12" x14ac:dyDescent="0.25">
      <c r="E118" s="3"/>
      <c r="F118" s="3"/>
      <c r="G118" s="3">
        <f t="shared" si="32"/>
        <v>51.669018917173389</v>
      </c>
      <c r="L118" s="2">
        <f t="shared" si="33"/>
        <v>-4.4894284053509648E-3</v>
      </c>
    </row>
    <row r="119" spans="5:12" x14ac:dyDescent="0.25">
      <c r="E119" s="3"/>
      <c r="F119" s="3"/>
      <c r="G119" s="3">
        <f t="shared" si="32"/>
        <v>51.440653096972035</v>
      </c>
      <c r="L119" s="2">
        <f t="shared" si="33"/>
        <v>-4.4494791931053695E-3</v>
      </c>
    </row>
    <row r="120" spans="5:12" x14ac:dyDescent="0.25">
      <c r="E120" s="3"/>
      <c r="F120" s="3"/>
      <c r="G120" s="3">
        <f t="shared" si="32"/>
        <v>51.215288540322753</v>
      </c>
      <c r="L120" s="2">
        <f t="shared" si="33"/>
        <v>-4.4102346517383645E-3</v>
      </c>
    </row>
    <row r="121" spans="5:12" x14ac:dyDescent="0.25">
      <c r="E121" s="3"/>
      <c r="F121" s="3"/>
      <c r="G121" s="3">
        <f t="shared" si="32"/>
        <v>50.992860082794387</v>
      </c>
      <c r="L121" s="2">
        <f t="shared" si="33"/>
        <v>-4.3716763004475251E-3</v>
      </c>
    </row>
    <row r="122" spans="5:12" x14ac:dyDescent="0.25">
      <c r="E122" s="3"/>
      <c r="F122" s="3"/>
      <c r="G122" s="3">
        <f t="shared" si="32"/>
        <v>50.773304523600999</v>
      </c>
      <c r="L122" s="2">
        <f t="shared" si="33"/>
        <v>-4.3337862990390748E-3</v>
      </c>
    </row>
    <row r="123" spans="5:12" x14ac:dyDescent="0.25">
      <c r="E123" s="3"/>
      <c r="F123" s="3"/>
      <c r="G123" s="3">
        <f t="shared" si="32"/>
        <v>50.556560550177728</v>
      </c>
      <c r="L123" s="2">
        <f t="shared" si="33"/>
        <v>-4.2965474204105358E-3</v>
      </c>
    </row>
    <row r="124" spans="5:12" x14ac:dyDescent="0.25">
      <c r="E124" s="3"/>
      <c r="F124" s="3"/>
      <c r="G124" s="3">
        <f t="shared" si="32"/>
        <v>50.342568666267304</v>
      </c>
      <c r="L124" s="2">
        <f t="shared" si="33"/>
        <v>-4.2599430244396443E-3</v>
      </c>
    </row>
    <row r="125" spans="5:12" x14ac:dyDescent="0.25">
      <c r="E125" s="3"/>
      <c r="F125" s="3"/>
      <c r="G125" s="3">
        <f t="shared" si="32"/>
        <v>50.131271123325753</v>
      </c>
      <c r="L125" s="2">
        <f t="shared" si="33"/>
        <v>-4.2239570331963974E-3</v>
      </c>
    </row>
    <row r="126" spans="5:12" x14ac:dyDescent="0.25">
      <c r="E126" s="3"/>
      <c r="F126" s="3"/>
      <c r="G126" s="3">
        <f t="shared" si="32"/>
        <v>49.922611855067778</v>
      </c>
      <c r="L126" s="2">
        <f t="shared" si="33"/>
        <v>-4.1885739074006573E-3</v>
      </c>
    </row>
    <row r="127" spans="5:12" x14ac:dyDescent="0.25">
      <c r="E127" s="3"/>
      <c r="F127" s="3"/>
      <c r="G127" s="3">
        <f t="shared" si="32"/>
        <v>49.716536414983338</v>
      </c>
      <c r="L127" s="2">
        <f t="shared" si="33"/>
        <v>-4.1537786240529234E-3</v>
      </c>
    </row>
    <row r="128" spans="5:12" x14ac:dyDescent="0.25">
      <c r="E128" s="3"/>
      <c r="F128" s="3"/>
      <c r="G128" s="3">
        <f t="shared" si="32"/>
        <v>49.512991916667403</v>
      </c>
      <c r="L128" s="2">
        <f t="shared" si="33"/>
        <v>-4.1195566551706078E-3</v>
      </c>
    </row>
    <row r="129" spans="5:12" x14ac:dyDescent="0.25">
      <c r="E129" s="3"/>
      <c r="F129" s="3"/>
      <c r="G129" s="3">
        <f t="shared" si="32"/>
        <v>49.31192697681437</v>
      </c>
      <c r="L129" s="2">
        <f t="shared" si="33"/>
        <v>-4.0858939475666191E-3</v>
      </c>
    </row>
    <row r="130" spans="5:12" x14ac:dyDescent="0.25">
      <c r="E130" s="3"/>
      <c r="F130" s="3"/>
      <c r="G130" s="3">
        <f t="shared" si="32"/>
        <v>49.113291660737694</v>
      </c>
      <c r="L130" s="2">
        <f t="shared" si="33"/>
        <v>-4.0527769036111209E-3</v>
      </c>
    </row>
    <row r="131" spans="5:12" x14ac:dyDescent="0.25">
      <c r="E131" s="3"/>
      <c r="F131" s="3"/>
      <c r="G131" s="3">
        <f t="shared" si="32"/>
        <v>48.9170374302836</v>
      </c>
      <c r="L131" s="2">
        <f t="shared" si="33"/>
        <v>-4.0201923629211451E-3</v>
      </c>
    </row>
    <row r="132" spans="5:12" x14ac:dyDescent="0.25">
      <c r="E132" s="3"/>
      <c r="F132" s="3"/>
      <c r="G132" s="3">
        <f t="shared" si="32"/>
        <v>48.723117094015464</v>
      </c>
      <c r="L132" s="2">
        <f t="shared" si="33"/>
        <v>-3.9881275849262777E-3</v>
      </c>
    </row>
    <row r="133" spans="5:12" x14ac:dyDescent="0.25">
      <c r="E133" s="3"/>
      <c r="F133" s="3"/>
      <c r="G133" s="3">
        <f t="shared" si="32"/>
        <v>48.531484759552896</v>
      </c>
      <c r="L133" s="2">
        <f t="shared" si="33"/>
        <v>-3.9565702322619028E-3</v>
      </c>
    </row>
    <row r="134" spans="5:12" x14ac:dyDescent="0.25">
      <c r="E134" s="3"/>
      <c r="F134" s="3"/>
      <c r="G134" s="3">
        <f t="shared" si="32"/>
        <v>48.34209578795619</v>
      </c>
      <c r="L134" s="2">
        <f t="shared" si="33"/>
        <v>-3.9255083549445255E-3</v>
      </c>
    </row>
    <row r="135" spans="5:12" x14ac:dyDescent="0.25">
      <c r="E135" s="3"/>
      <c r="F135" s="3"/>
      <c r="G135" s="3">
        <f t="shared" si="32"/>
        <v>48.154906750053222</v>
      </c>
      <c r="L135" s="2">
        <f t="shared" si="33"/>
        <v>-3.8949303752865523E-3</v>
      </c>
    </row>
    <row r="136" spans="5:12" x14ac:dyDescent="0.25">
      <c r="E136" s="3"/>
      <c r="F136" s="3"/>
      <c r="G136" s="3">
        <f t="shared" si="32"/>
        <v>47.969875384611818</v>
      </c>
      <c r="L136" s="2">
        <f t="shared" si="33"/>
        <v>-3.8648250735105359E-3</v>
      </c>
    </row>
    <row r="137" spans="5:12" x14ac:dyDescent="0.25">
      <c r="E137" s="3"/>
      <c r="F137" s="3"/>
      <c r="G137" s="3">
        <f t="shared" si="32"/>
        <v>47.786960558266102</v>
      </c>
      <c r="L137" s="2">
        <f t="shared" si="33"/>
        <v>-3.8351815740253117E-3</v>
      </c>
    </row>
    <row r="138" spans="5:12" x14ac:dyDescent="0.25">
      <c r="E138" s="3"/>
      <c r="F138" s="3"/>
      <c r="G138" s="3">
        <f t="shared" si="32"/>
        <v>47.606122227110603</v>
      </c>
      <c r="L138" s="2">
        <f t="shared" si="33"/>
        <v>-3.8059893323288004E-3</v>
      </c>
    </row>
    <row r="139" spans="5:12" x14ac:dyDescent="0.25">
      <c r="E139" s="3"/>
      <c r="F139" s="3"/>
      <c r="G139" s="3">
        <f t="shared" si="32"/>
        <v>47.427321399880682</v>
      </c>
      <c r="L139" s="2">
        <f t="shared" si="33"/>
        <v>-3.777238122504324E-3</v>
      </c>
    </row>
    <row r="140" spans="5:12" x14ac:dyDescent="0.25">
      <c r="E140" s="3"/>
      <c r="F140" s="3"/>
      <c r="G140" s="3">
        <f t="shared" si="32"/>
        <v>47.250520102642433</v>
      </c>
      <c r="L140" s="2">
        <f t="shared" si="33"/>
        <v>-3.7489180252793003E-3</v>
      </c>
    </row>
    <row r="141" spans="5:12" x14ac:dyDescent="0.25">
      <c r="E141" s="3"/>
      <c r="F141" s="3"/>
      <c r="G141" s="3">
        <f t="shared" si="32"/>
        <v>47.075681344919474</v>
      </c>
      <c r="L141" s="2">
        <f t="shared" si="33"/>
        <v>-3.7210194166170277E-3</v>
      </c>
    </row>
    <row r="142" spans="5:12" x14ac:dyDescent="0.25">
      <c r="E142" s="3"/>
      <c r="F142" s="3"/>
      <c r="G142" s="3">
        <f t="shared" si="32"/>
        <v>46.902769087188055</v>
      </c>
      <c r="L142" s="2">
        <f t="shared" si="33"/>
        <v>-3.6935329568139989E-3</v>
      </c>
    </row>
    <row r="143" spans="5:12" x14ac:dyDescent="0.25">
      <c r="E143" s="3"/>
      <c r="F143" s="3"/>
      <c r="G143" s="3">
        <f t="shared" si="32"/>
        <v>46.731748209675551</v>
      </c>
      <c r="L143" s="2">
        <f t="shared" si="33"/>
        <v>-3.6664495800768056E-3</v>
      </c>
    </row>
    <row r="144" spans="5:12" x14ac:dyDescent="0.25">
      <c r="E144" s="3"/>
      <c r="F144" s="3"/>
      <c r="G144" s="3">
        <f t="shared" si="32"/>
        <v>46.562584482401185</v>
      </c>
      <c r="L144" s="2">
        <f t="shared" si="33"/>
        <v>-3.6397604845541899E-3</v>
      </c>
    </row>
    <row r="145" spans="5:12" x14ac:dyDescent="0.25">
      <c r="E145" s="3"/>
      <c r="F145" s="3"/>
      <c r="G145" s="3">
        <f t="shared" si="32"/>
        <v>46.395244536400781</v>
      </c>
      <c r="L145" s="2">
        <f t="shared" si="33"/>
        <v>-3.6134571228012462E-3</v>
      </c>
    </row>
    <row r="146" spans="5:12" x14ac:dyDescent="0.25">
      <c r="E146" s="3"/>
      <c r="F146" s="3"/>
      <c r="G146" s="3">
        <f t="shared" si="32"/>
        <v>46.229695836080751</v>
      </c>
      <c r="L146" s="2">
        <f t="shared" si="33"/>
        <v>-3.5875311926540439E-3</v>
      </c>
    </row>
    <row r="147" spans="5:12" x14ac:dyDescent="0.25">
      <c r="E147" s="3"/>
      <c r="F147" s="3"/>
      <c r="G147" s="3">
        <f t="shared" si="32"/>
        <v>46.065906652649282</v>
      </c>
      <c r="L147" s="2">
        <f t="shared" si="33"/>
        <v>-3.5619746284942361E-3</v>
      </c>
    </row>
    <row r="148" spans="5:12" x14ac:dyDescent="0.25">
      <c r="E148" s="3"/>
      <c r="F148" s="3"/>
      <c r="G148" s="3">
        <f t="shared" si="32"/>
        <v>45.903846038575473</v>
      </c>
      <c r="L148" s="2">
        <f t="shared" si="33"/>
        <v>-3.5367795928843292E-3</v>
      </c>
    </row>
    <row r="149" spans="5:12" x14ac:dyDescent="0.25">
      <c r="E149" s="3"/>
      <c r="F149" s="3"/>
      <c r="G149" s="3">
        <f t="shared" si="32"/>
        <v>45.743483803029761</v>
      </c>
      <c r="L149" s="2">
        <f t="shared" si="33"/>
        <v>-3.511938468555402E-3</v>
      </c>
    </row>
    <row r="150" spans="5:12" x14ac:dyDescent="0.25">
      <c r="E150" s="3"/>
      <c r="F150" s="3"/>
      <c r="G150" s="3">
        <f t="shared" si="32"/>
        <v>45.584790488261348</v>
      </c>
      <c r="L150" s="2">
        <f t="shared" si="33"/>
        <v>-3.4874438507300765E-3</v>
      </c>
    </row>
    <row r="151" spans="5:12" x14ac:dyDescent="0.25">
      <c r="E151" s="3"/>
      <c r="F151" s="3"/>
      <c r="G151" s="3">
        <f t="shared" si="32"/>
        <v>45.427737346870735</v>
      </c>
      <c r="L151" s="2">
        <f t="shared" si="33"/>
        <v>-3.4632885397644702E-3</v>
      </c>
    </row>
    <row r="152" spans="5:12" x14ac:dyDescent="0.25">
      <c r="E152" s="3"/>
      <c r="F152" s="3"/>
      <c r="G152" s="3">
        <f t="shared" si="32"/>
        <v>45.272296319937546</v>
      </c>
      <c r="L152" s="2">
        <f t="shared" si="33"/>
        <v>-3.4394655340937901E-3</v>
      </c>
    </row>
    <row r="153" spans="5:12" x14ac:dyDescent="0.25">
      <c r="E153" s="3"/>
      <c r="F153" s="3"/>
      <c r="G153" s="3">
        <f t="shared" si="32"/>
        <v>45.272296319937546</v>
      </c>
      <c r="L153" s="2"/>
    </row>
    <row r="154" spans="5:12" x14ac:dyDescent="0.25">
      <c r="E154" s="3"/>
      <c r="F154" s="3"/>
      <c r="G154" s="3">
        <f t="shared" si="32"/>
        <v>45.272296319937546</v>
      </c>
      <c r="L154" s="2"/>
    </row>
    <row r="155" spans="5:12" x14ac:dyDescent="0.25">
      <c r="E155" s="3"/>
      <c r="F155" s="3"/>
      <c r="G155" s="3">
        <f t="shared" si="32"/>
        <v>45.272296319937546</v>
      </c>
      <c r="L155" s="2"/>
    </row>
    <row r="156" spans="5:12" x14ac:dyDescent="0.25">
      <c r="E156" s="3"/>
      <c r="F156" s="3"/>
      <c r="G156" s="3">
        <f t="shared" si="32"/>
        <v>45.272296319937546</v>
      </c>
      <c r="L156" s="2"/>
    </row>
    <row r="157" spans="5:12" x14ac:dyDescent="0.25">
      <c r="E157" s="3"/>
      <c r="F157" s="3"/>
      <c r="G157" s="3">
        <f t="shared" si="32"/>
        <v>45.272296319937546</v>
      </c>
      <c r="L157" s="2"/>
    </row>
    <row r="158" spans="5:12" x14ac:dyDescent="0.25">
      <c r="E158" s="3"/>
      <c r="F158" s="3"/>
      <c r="G158" s="3">
        <f t="shared" si="32"/>
        <v>45.272296319937546</v>
      </c>
      <c r="L158" s="2"/>
    </row>
    <row r="159" spans="5:12" x14ac:dyDescent="0.25">
      <c r="E159" s="3"/>
      <c r="F159" s="3"/>
      <c r="G159" s="3">
        <f t="shared" si="32"/>
        <v>45.272296319937546</v>
      </c>
      <c r="L159" s="2"/>
    </row>
    <row r="160" spans="5:12" x14ac:dyDescent="0.25">
      <c r="E160" s="3"/>
      <c r="F160" s="3"/>
      <c r="G160" s="3">
        <f t="shared" si="32"/>
        <v>45.272296319937546</v>
      </c>
      <c r="L160" s="2"/>
    </row>
    <row r="161" spans="5:12" x14ac:dyDescent="0.25">
      <c r="E161" s="3"/>
      <c r="F161" s="3"/>
      <c r="G161" s="3">
        <f t="shared" si="32"/>
        <v>45.272296319937546</v>
      </c>
      <c r="L161" s="2"/>
    </row>
    <row r="162" spans="5:12" x14ac:dyDescent="0.25">
      <c r="E162" s="3"/>
      <c r="F162" s="3"/>
      <c r="G162" s="3">
        <f t="shared" si="32"/>
        <v>45.272296319937546</v>
      </c>
      <c r="L162" s="2"/>
    </row>
    <row r="163" spans="5:12" x14ac:dyDescent="0.25">
      <c r="E163" s="3"/>
      <c r="F163" s="3"/>
      <c r="G163" s="3">
        <f t="shared" si="32"/>
        <v>45.272296319937546</v>
      </c>
      <c r="L163" s="2"/>
    </row>
    <row r="164" spans="5:12" x14ac:dyDescent="0.25">
      <c r="E164" s="3"/>
      <c r="F164" s="3"/>
      <c r="G164" s="3">
        <f t="shared" si="32"/>
        <v>45.272296319937546</v>
      </c>
      <c r="L164" s="2"/>
    </row>
    <row r="165" spans="5:12" x14ac:dyDescent="0.25">
      <c r="E165" s="3"/>
      <c r="F165" s="3"/>
      <c r="G165" s="3">
        <f t="shared" si="32"/>
        <v>45.272296319937546</v>
      </c>
      <c r="L165" s="2"/>
    </row>
    <row r="166" spans="5:12" x14ac:dyDescent="0.25">
      <c r="E166" s="3"/>
      <c r="F166" s="3"/>
      <c r="G166" s="3">
        <f t="shared" si="32"/>
        <v>45.272296319937546</v>
      </c>
      <c r="L166" s="2"/>
    </row>
    <row r="167" spans="5:12" x14ac:dyDescent="0.25">
      <c r="E167" s="3"/>
      <c r="F167" s="3"/>
      <c r="G167" s="3">
        <f t="shared" si="32"/>
        <v>45.272296319937546</v>
      </c>
      <c r="L167" s="2"/>
    </row>
    <row r="168" spans="5:12" x14ac:dyDescent="0.25">
      <c r="E168" s="3"/>
      <c r="F168" s="3"/>
      <c r="G168" s="3">
        <f t="shared" si="32"/>
        <v>45.272296319937546</v>
      </c>
      <c r="L168" s="2"/>
    </row>
    <row r="169" spans="5:12" x14ac:dyDescent="0.25">
      <c r="E169" s="3"/>
      <c r="F169" s="3"/>
      <c r="G169" s="3">
        <f t="shared" si="32"/>
        <v>45.272296319937546</v>
      </c>
      <c r="L169" s="2"/>
    </row>
    <row r="170" spans="5:12" x14ac:dyDescent="0.25">
      <c r="E170" s="3"/>
      <c r="F170" s="3"/>
      <c r="L170" s="2"/>
    </row>
    <row r="171" spans="5:12" x14ac:dyDescent="0.25">
      <c r="E171" s="3"/>
      <c r="F171" s="3"/>
      <c r="L171" s="2"/>
    </row>
    <row r="172" spans="5:12" x14ac:dyDescent="0.25">
      <c r="E172" s="3"/>
      <c r="F172" s="3"/>
      <c r="L172" s="2"/>
    </row>
    <row r="173" spans="5:12" x14ac:dyDescent="0.25">
      <c r="E173" s="3"/>
      <c r="F173" s="3"/>
      <c r="L173" s="2"/>
    </row>
    <row r="174" spans="5:12" x14ac:dyDescent="0.25">
      <c r="E174" s="3"/>
      <c r="F174" s="3"/>
      <c r="L174" s="2"/>
    </row>
    <row r="175" spans="5:12" x14ac:dyDescent="0.25">
      <c r="E175" s="3"/>
      <c r="F175" s="3"/>
      <c r="L175" s="2"/>
    </row>
    <row r="176" spans="5:12" x14ac:dyDescent="0.25">
      <c r="E176" s="3"/>
      <c r="F176" s="3"/>
      <c r="L176" s="2"/>
    </row>
    <row r="177" spans="5:12" x14ac:dyDescent="0.25">
      <c r="E177" s="3"/>
      <c r="F177" s="3"/>
      <c r="L177" s="2"/>
    </row>
    <row r="178" spans="5:12" x14ac:dyDescent="0.25">
      <c r="E178" s="3"/>
      <c r="F178" s="3"/>
      <c r="L178" s="2"/>
    </row>
    <row r="179" spans="5:12" x14ac:dyDescent="0.25">
      <c r="E179" s="3"/>
      <c r="F179" s="3"/>
      <c r="L179" s="2"/>
    </row>
    <row r="180" spans="5:12" x14ac:dyDescent="0.25">
      <c r="E180" s="3"/>
      <c r="F180" s="3"/>
      <c r="L180" s="2"/>
    </row>
    <row r="181" spans="5:12" x14ac:dyDescent="0.25">
      <c r="E181" s="3"/>
      <c r="F181" s="3"/>
      <c r="L181" s="2"/>
    </row>
    <row r="182" spans="5:12" x14ac:dyDescent="0.25">
      <c r="E182" s="3"/>
      <c r="F182" s="3"/>
      <c r="L182" s="2"/>
    </row>
    <row r="183" spans="5:12" x14ac:dyDescent="0.25">
      <c r="E183" s="3"/>
      <c r="F183" s="3"/>
      <c r="L183" s="2"/>
    </row>
    <row r="184" spans="5:12" x14ac:dyDescent="0.25">
      <c r="E184" s="3"/>
      <c r="F184" s="3"/>
      <c r="L184" s="2"/>
    </row>
    <row r="185" spans="5:12" x14ac:dyDescent="0.25">
      <c r="E185" s="3"/>
      <c r="F185" s="3"/>
      <c r="L185" s="2"/>
    </row>
    <row r="186" spans="5:12" x14ac:dyDescent="0.25">
      <c r="E186" s="3"/>
      <c r="F186" s="3"/>
      <c r="L186" s="2"/>
    </row>
    <row r="187" spans="5:12" x14ac:dyDescent="0.25">
      <c r="E187" s="3"/>
      <c r="F187" s="3"/>
      <c r="L187" s="2"/>
    </row>
    <row r="188" spans="5:12" x14ac:dyDescent="0.25">
      <c r="E188" s="3"/>
      <c r="F188" s="3"/>
      <c r="L188" s="2"/>
    </row>
    <row r="189" spans="5:12" x14ac:dyDescent="0.25">
      <c r="E189" s="3"/>
      <c r="F189" s="3"/>
      <c r="L189" s="2"/>
    </row>
    <row r="190" spans="5:12" x14ac:dyDescent="0.25">
      <c r="E190" s="3"/>
      <c r="F190" s="3"/>
      <c r="L190" s="2"/>
    </row>
    <row r="191" spans="5:12" x14ac:dyDescent="0.25">
      <c r="E191" s="3"/>
      <c r="F191" s="3"/>
      <c r="L191" s="2"/>
    </row>
    <row r="192" spans="5:12" x14ac:dyDescent="0.25">
      <c r="E192" s="3"/>
      <c r="F192" s="3"/>
      <c r="L192" s="2"/>
    </row>
    <row r="193" spans="5:12" x14ac:dyDescent="0.25">
      <c r="E193" s="3"/>
      <c r="F193" s="3"/>
      <c r="L193" s="2"/>
    </row>
    <row r="194" spans="5:12" x14ac:dyDescent="0.25">
      <c r="E194" s="3"/>
      <c r="F194" s="3"/>
      <c r="L194" s="2"/>
    </row>
    <row r="195" spans="5:12" x14ac:dyDescent="0.25">
      <c r="E195" s="3"/>
      <c r="F195" s="3"/>
      <c r="L195" s="2"/>
    </row>
    <row r="196" spans="5:12" x14ac:dyDescent="0.25">
      <c r="E196" s="3"/>
      <c r="F196" s="3"/>
      <c r="L196" s="2"/>
    </row>
    <row r="197" spans="5:12" x14ac:dyDescent="0.25">
      <c r="E197" s="3"/>
      <c r="F197" s="3"/>
      <c r="L197" s="2"/>
    </row>
    <row r="198" spans="5:12" x14ac:dyDescent="0.25">
      <c r="E198" s="3"/>
      <c r="F198" s="3"/>
      <c r="L198" s="2"/>
    </row>
    <row r="199" spans="5:12" x14ac:dyDescent="0.25">
      <c r="E199" s="3"/>
      <c r="F199" s="3"/>
      <c r="L199" s="2"/>
    </row>
    <row r="200" spans="5:12" x14ac:dyDescent="0.25">
      <c r="E200" s="3"/>
      <c r="F200" s="3"/>
      <c r="L200" s="2"/>
    </row>
    <row r="201" spans="5:12" x14ac:dyDescent="0.25">
      <c r="E201" s="3"/>
      <c r="F201" s="3"/>
      <c r="L201" s="2"/>
    </row>
    <row r="202" spans="5:12" x14ac:dyDescent="0.25">
      <c r="E202" s="3"/>
      <c r="F202" s="3"/>
      <c r="L202" s="2"/>
    </row>
    <row r="203" spans="5:12" x14ac:dyDescent="0.25">
      <c r="E203" s="3"/>
      <c r="F203" s="3"/>
      <c r="L203" s="2"/>
    </row>
    <row r="204" spans="5:12" x14ac:dyDescent="0.25">
      <c r="E204" s="3"/>
      <c r="F204" s="3"/>
      <c r="L204" s="2"/>
    </row>
    <row r="205" spans="5:12" x14ac:dyDescent="0.25">
      <c r="E205" s="3"/>
      <c r="F205" s="3"/>
      <c r="L205" s="2"/>
    </row>
    <row r="206" spans="5:12" x14ac:dyDescent="0.25">
      <c r="E206" s="3"/>
      <c r="F206" s="3"/>
      <c r="L206" s="2"/>
    </row>
    <row r="207" spans="5:12" x14ac:dyDescent="0.25">
      <c r="E207" s="3"/>
      <c r="F207" s="3"/>
      <c r="L207" s="2"/>
    </row>
    <row r="208" spans="5:12" x14ac:dyDescent="0.25">
      <c r="E208" s="3"/>
      <c r="F208" s="3"/>
      <c r="L208" s="2"/>
    </row>
    <row r="209" spans="5:12" x14ac:dyDescent="0.25">
      <c r="E209" s="3"/>
      <c r="F209" s="3"/>
      <c r="L209" s="2"/>
    </row>
    <row r="210" spans="5:12" x14ac:dyDescent="0.25">
      <c r="E210" s="3"/>
      <c r="F210" s="3"/>
      <c r="L210" s="2"/>
    </row>
    <row r="211" spans="5:12" x14ac:dyDescent="0.25">
      <c r="E211" s="3"/>
      <c r="F211" s="3"/>
      <c r="L211" s="2"/>
    </row>
    <row r="212" spans="5:12" x14ac:dyDescent="0.25">
      <c r="E212" s="3"/>
      <c r="F212" s="3"/>
      <c r="L212" s="2"/>
    </row>
    <row r="213" spans="5:12" x14ac:dyDescent="0.25">
      <c r="E213" s="3"/>
      <c r="F213" s="3"/>
      <c r="L213" s="2"/>
    </row>
    <row r="214" spans="5:12" x14ac:dyDescent="0.25">
      <c r="E214" s="3"/>
      <c r="F214" s="3"/>
      <c r="L214" s="2"/>
    </row>
    <row r="215" spans="5:12" x14ac:dyDescent="0.25">
      <c r="E215" s="3"/>
      <c r="F215" s="3"/>
      <c r="L215" s="2"/>
    </row>
    <row r="216" spans="5:12" x14ac:dyDescent="0.25">
      <c r="E216" s="3"/>
      <c r="F216" s="3"/>
      <c r="L216" s="2"/>
    </row>
    <row r="217" spans="5:12" x14ac:dyDescent="0.25">
      <c r="E217" s="3"/>
      <c r="F217" s="3"/>
      <c r="L217" s="2"/>
    </row>
    <row r="218" spans="5:12" x14ac:dyDescent="0.25">
      <c r="E218" s="3"/>
      <c r="F218" s="3"/>
      <c r="L218" s="2"/>
    </row>
    <row r="219" spans="5:12" x14ac:dyDescent="0.25">
      <c r="E219" s="3"/>
      <c r="F219" s="3"/>
      <c r="L219" s="2"/>
    </row>
    <row r="220" spans="5:12" x14ac:dyDescent="0.25">
      <c r="E220" s="3"/>
      <c r="F220" s="3"/>
      <c r="L220" s="2"/>
    </row>
    <row r="221" spans="5:12" x14ac:dyDescent="0.25">
      <c r="E221" s="3"/>
      <c r="F221" s="3"/>
      <c r="L221" s="2"/>
    </row>
    <row r="222" spans="5:12" x14ac:dyDescent="0.25">
      <c r="E222" s="3"/>
      <c r="F222" s="3"/>
      <c r="L222" s="2"/>
    </row>
    <row r="223" spans="5:12" x14ac:dyDescent="0.25">
      <c r="E223" s="3"/>
      <c r="F223" s="3"/>
      <c r="L223" s="2"/>
    </row>
    <row r="224" spans="5:12" x14ac:dyDescent="0.25">
      <c r="E224" s="3"/>
      <c r="F224" s="3"/>
      <c r="L224" s="2"/>
    </row>
    <row r="225" spans="5:12" x14ac:dyDescent="0.25">
      <c r="E225" s="3"/>
      <c r="F225" s="3"/>
      <c r="L225" s="2"/>
    </row>
    <row r="226" spans="5:12" x14ac:dyDescent="0.25">
      <c r="E226" s="3"/>
      <c r="F226" s="3"/>
      <c r="L226" s="2"/>
    </row>
    <row r="227" spans="5:12" x14ac:dyDescent="0.25">
      <c r="E227" s="3"/>
      <c r="F227" s="3"/>
      <c r="L227" s="2"/>
    </row>
    <row r="228" spans="5:12" x14ac:dyDescent="0.25">
      <c r="E228" s="3"/>
      <c r="F228" s="3"/>
      <c r="L228" s="2"/>
    </row>
    <row r="229" spans="5:12" x14ac:dyDescent="0.25">
      <c r="E229" s="3"/>
      <c r="F229" s="3"/>
      <c r="L229" s="2"/>
    </row>
    <row r="230" spans="5:12" x14ac:dyDescent="0.25">
      <c r="E230" s="3"/>
      <c r="F230" s="3"/>
      <c r="L230" s="2"/>
    </row>
    <row r="231" spans="5:12" x14ac:dyDescent="0.25">
      <c r="E231" s="3"/>
      <c r="F231" s="3"/>
      <c r="L231" s="2"/>
    </row>
    <row r="232" spans="5:12" x14ac:dyDescent="0.25">
      <c r="E232" s="3"/>
      <c r="F232" s="3"/>
      <c r="L232" s="2"/>
    </row>
    <row r="233" spans="5:12" x14ac:dyDescent="0.25">
      <c r="E233" s="3"/>
      <c r="F233" s="3"/>
      <c r="L233" s="2"/>
    </row>
    <row r="234" spans="5:12" x14ac:dyDescent="0.25">
      <c r="E234" s="3"/>
      <c r="F234" s="3"/>
      <c r="L234" s="2"/>
    </row>
    <row r="235" spans="5:12" x14ac:dyDescent="0.25">
      <c r="E235" s="3"/>
      <c r="F235" s="3"/>
      <c r="L235" s="2"/>
    </row>
    <row r="236" spans="5:12" x14ac:dyDescent="0.25">
      <c r="E236" s="3"/>
      <c r="F236" s="3"/>
      <c r="L236" s="2"/>
    </row>
    <row r="237" spans="5:12" x14ac:dyDescent="0.25">
      <c r="E237" s="3"/>
      <c r="F237" s="3"/>
      <c r="L237" s="2"/>
    </row>
    <row r="238" spans="5:12" x14ac:dyDescent="0.25">
      <c r="E238" s="3"/>
      <c r="F238" s="3"/>
      <c r="L238" s="2"/>
    </row>
    <row r="239" spans="5:12" x14ac:dyDescent="0.25">
      <c r="E239" s="3"/>
      <c r="F239" s="3"/>
      <c r="L239" s="2"/>
    </row>
    <row r="240" spans="5:12" x14ac:dyDescent="0.25">
      <c r="E240" s="3"/>
      <c r="F240" s="3"/>
      <c r="L240" s="2"/>
    </row>
    <row r="241" spans="5:12" x14ac:dyDescent="0.25">
      <c r="E241" s="3"/>
      <c r="F241" s="3"/>
      <c r="L241" s="2"/>
    </row>
    <row r="242" spans="5:12" x14ac:dyDescent="0.25">
      <c r="E242" s="3"/>
      <c r="F242" s="3"/>
      <c r="L242" s="2"/>
    </row>
    <row r="243" spans="5:12" x14ac:dyDescent="0.25">
      <c r="E243" s="3"/>
      <c r="F243" s="3"/>
      <c r="L243" s="2"/>
    </row>
    <row r="244" spans="5:12" x14ac:dyDescent="0.25">
      <c r="E244" s="3"/>
      <c r="F244" s="3"/>
      <c r="L244" s="2"/>
    </row>
    <row r="245" spans="5:12" x14ac:dyDescent="0.25">
      <c r="E245" s="3"/>
      <c r="F245" s="3"/>
      <c r="L245" s="2"/>
    </row>
    <row r="246" spans="5:12" x14ac:dyDescent="0.25">
      <c r="E246" s="3"/>
      <c r="F246" s="3"/>
      <c r="L246" s="2"/>
    </row>
    <row r="247" spans="5:12" x14ac:dyDescent="0.25">
      <c r="E247" s="3"/>
      <c r="F247" s="3"/>
      <c r="L247" s="2"/>
    </row>
    <row r="248" spans="5:12" x14ac:dyDescent="0.25">
      <c r="E248" s="3"/>
      <c r="F248" s="3"/>
      <c r="L248" s="2"/>
    </row>
    <row r="249" spans="5:12" x14ac:dyDescent="0.25">
      <c r="E249" s="3"/>
      <c r="F249" s="3"/>
      <c r="L249" s="2"/>
    </row>
    <row r="250" spans="5:12" x14ac:dyDescent="0.25">
      <c r="E250" s="3"/>
      <c r="F250" s="3"/>
      <c r="L250" s="2"/>
    </row>
    <row r="251" spans="5:12" x14ac:dyDescent="0.25">
      <c r="E251" s="3"/>
      <c r="F251" s="3"/>
      <c r="L251" s="2"/>
    </row>
    <row r="252" spans="5:12" x14ac:dyDescent="0.25">
      <c r="E252" s="3"/>
      <c r="F252" s="3"/>
      <c r="L252" s="2"/>
    </row>
    <row r="253" spans="5:12" x14ac:dyDescent="0.25">
      <c r="E253" s="3"/>
      <c r="F253" s="3"/>
      <c r="L253" s="2"/>
    </row>
    <row r="254" spans="5:12" x14ac:dyDescent="0.25">
      <c r="E254" s="3"/>
      <c r="F254" s="3"/>
      <c r="L254" s="2"/>
    </row>
    <row r="255" spans="5:12" x14ac:dyDescent="0.25">
      <c r="E255" s="3"/>
      <c r="F255" s="3"/>
      <c r="L255" s="2"/>
    </row>
    <row r="256" spans="5:12" x14ac:dyDescent="0.25">
      <c r="E256" s="3"/>
      <c r="F256" s="3"/>
      <c r="L256" s="2"/>
    </row>
    <row r="257" spans="5:12" x14ac:dyDescent="0.25">
      <c r="E257" s="3"/>
      <c r="F257" s="3"/>
      <c r="L257" s="2"/>
    </row>
    <row r="258" spans="5:12" x14ac:dyDescent="0.25">
      <c r="E258" s="3"/>
      <c r="F258" s="3"/>
      <c r="L258" s="2"/>
    </row>
    <row r="259" spans="5:12" x14ac:dyDescent="0.25">
      <c r="E259" s="3"/>
      <c r="F259" s="3"/>
      <c r="L259" s="2"/>
    </row>
    <row r="260" spans="5:12" x14ac:dyDescent="0.25">
      <c r="E260" s="3"/>
      <c r="F260" s="3"/>
      <c r="L260" s="2"/>
    </row>
    <row r="261" spans="5:12" x14ac:dyDescent="0.25">
      <c r="E261" s="3"/>
      <c r="F261" s="3"/>
      <c r="L261" s="2"/>
    </row>
    <row r="262" spans="5:12" x14ac:dyDescent="0.25">
      <c r="E262" s="3"/>
      <c r="F262" s="3"/>
      <c r="L262" s="2"/>
    </row>
    <row r="263" spans="5:12" x14ac:dyDescent="0.25">
      <c r="E263" s="3"/>
      <c r="F263" s="3"/>
      <c r="L263" s="2"/>
    </row>
    <row r="264" spans="5:12" x14ac:dyDescent="0.25">
      <c r="E264" s="3"/>
      <c r="F264" s="3"/>
      <c r="L264" s="2"/>
    </row>
    <row r="265" spans="5:12" x14ac:dyDescent="0.25">
      <c r="E265" s="3"/>
      <c r="F265" s="3"/>
      <c r="L265" s="2"/>
    </row>
    <row r="266" spans="5:12" x14ac:dyDescent="0.25">
      <c r="E266" s="3"/>
      <c r="F266" s="3"/>
      <c r="L266" s="2"/>
    </row>
    <row r="267" spans="5:12" x14ac:dyDescent="0.25">
      <c r="E267" s="3"/>
      <c r="F267" s="3"/>
      <c r="L267" s="2"/>
    </row>
    <row r="268" spans="5:12" x14ac:dyDescent="0.25">
      <c r="E268" s="3"/>
      <c r="F268" s="3"/>
      <c r="L268" s="2"/>
    </row>
    <row r="269" spans="5:12" x14ac:dyDescent="0.25">
      <c r="E269" s="3"/>
      <c r="F269" s="3"/>
      <c r="L269" s="2"/>
    </row>
    <row r="270" spans="5:12" x14ac:dyDescent="0.25">
      <c r="E270" s="3"/>
      <c r="F270" s="3"/>
      <c r="L270" s="2"/>
    </row>
    <row r="271" spans="5:12" x14ac:dyDescent="0.25">
      <c r="E271" s="3"/>
      <c r="F271" s="3"/>
      <c r="L271" s="2"/>
    </row>
    <row r="272" spans="5:12" x14ac:dyDescent="0.25">
      <c r="E272" s="3"/>
      <c r="F272" s="3"/>
      <c r="L272" s="2"/>
    </row>
    <row r="273" spans="5:12" x14ac:dyDescent="0.25">
      <c r="E273" s="3"/>
      <c r="F273" s="3"/>
      <c r="L273" s="2"/>
    </row>
    <row r="274" spans="5:12" x14ac:dyDescent="0.25">
      <c r="E274" s="3"/>
      <c r="F274" s="3"/>
      <c r="L274" s="2"/>
    </row>
    <row r="275" spans="5:12" x14ac:dyDescent="0.25">
      <c r="E275" s="3"/>
      <c r="F275" s="3"/>
      <c r="L275" s="2"/>
    </row>
    <row r="276" spans="5:12" x14ac:dyDescent="0.25">
      <c r="E276" s="3"/>
      <c r="F276" s="3"/>
      <c r="L276" s="2"/>
    </row>
    <row r="277" spans="5:12" x14ac:dyDescent="0.25">
      <c r="E277" s="3"/>
      <c r="F277" s="3"/>
      <c r="L277" s="2"/>
    </row>
    <row r="278" spans="5:12" x14ac:dyDescent="0.25">
      <c r="E278" s="3"/>
      <c r="F278" s="3"/>
      <c r="L278" s="2"/>
    </row>
    <row r="279" spans="5:12" x14ac:dyDescent="0.25">
      <c r="E279" s="3"/>
      <c r="F279" s="3"/>
      <c r="L279" s="2"/>
    </row>
    <row r="280" spans="5:12" x14ac:dyDescent="0.25">
      <c r="E280" s="3"/>
      <c r="F280" s="3"/>
      <c r="L280" s="2"/>
    </row>
    <row r="281" spans="5:12" x14ac:dyDescent="0.25">
      <c r="E281" s="3"/>
      <c r="F281" s="3"/>
      <c r="L281" s="2"/>
    </row>
    <row r="282" spans="5:12" x14ac:dyDescent="0.25">
      <c r="E282" s="3"/>
      <c r="F282" s="3"/>
      <c r="L282" s="2"/>
    </row>
    <row r="283" spans="5:12" x14ac:dyDescent="0.25">
      <c r="E283" s="3"/>
      <c r="F283" s="3"/>
      <c r="L283" s="2"/>
    </row>
    <row r="284" spans="5:12" x14ac:dyDescent="0.25">
      <c r="E284" s="3"/>
      <c r="F284" s="3"/>
      <c r="L284" s="2"/>
    </row>
    <row r="285" spans="5:12" x14ac:dyDescent="0.25">
      <c r="E285" s="3"/>
      <c r="F285" s="3"/>
      <c r="L285" s="2"/>
    </row>
    <row r="286" spans="5:12" x14ac:dyDescent="0.25">
      <c r="E286" s="3"/>
      <c r="F286" s="3"/>
      <c r="L286" s="2"/>
    </row>
    <row r="287" spans="5:12" x14ac:dyDescent="0.25">
      <c r="E287" s="3"/>
      <c r="F287" s="3"/>
      <c r="L287" s="2"/>
    </row>
    <row r="288" spans="5:12" x14ac:dyDescent="0.25">
      <c r="E288" s="3"/>
      <c r="F288" s="3"/>
      <c r="L288" s="2"/>
    </row>
    <row r="289" spans="5:12" x14ac:dyDescent="0.25">
      <c r="E289" s="3"/>
      <c r="F289" s="3"/>
      <c r="L289" s="2"/>
    </row>
    <row r="290" spans="5:12" x14ac:dyDescent="0.25">
      <c r="E290" s="3"/>
      <c r="F290" s="3"/>
      <c r="L290" s="2"/>
    </row>
    <row r="291" spans="5:12" x14ac:dyDescent="0.25">
      <c r="E291" s="3"/>
      <c r="F291" s="3"/>
      <c r="L291" s="2"/>
    </row>
    <row r="292" spans="5:12" x14ac:dyDescent="0.25">
      <c r="E292" s="3"/>
      <c r="F292" s="3"/>
      <c r="L292" s="2"/>
    </row>
    <row r="293" spans="5:12" x14ac:dyDescent="0.25">
      <c r="E293" s="3"/>
      <c r="F293" s="3"/>
      <c r="L293" s="2"/>
    </row>
    <row r="294" spans="5:12" x14ac:dyDescent="0.25">
      <c r="E294" s="3"/>
      <c r="F294" s="3"/>
      <c r="L294" s="2"/>
    </row>
    <row r="295" spans="5:12" x14ac:dyDescent="0.25">
      <c r="E295" s="3"/>
      <c r="F295" s="3"/>
      <c r="L295" s="2"/>
    </row>
    <row r="296" spans="5:12" x14ac:dyDescent="0.25">
      <c r="E296" s="3"/>
      <c r="F296" s="3"/>
      <c r="L296" s="2"/>
    </row>
    <row r="297" spans="5:12" x14ac:dyDescent="0.25">
      <c r="E297" s="3"/>
      <c r="F297" s="3"/>
      <c r="L297" s="2"/>
    </row>
    <row r="298" spans="5:12" x14ac:dyDescent="0.25">
      <c r="E298" s="3"/>
      <c r="F298" s="3"/>
      <c r="L298" s="2"/>
    </row>
    <row r="299" spans="5:12" x14ac:dyDescent="0.25">
      <c r="E299" s="3"/>
      <c r="F299" s="3"/>
      <c r="L299" s="2"/>
    </row>
    <row r="300" spans="5:12" x14ac:dyDescent="0.25">
      <c r="E300" s="3"/>
      <c r="F300" s="3"/>
      <c r="L300" s="2"/>
    </row>
    <row r="301" spans="5:12" x14ac:dyDescent="0.25">
      <c r="E301" s="3"/>
      <c r="F301" s="3"/>
      <c r="L301" s="2"/>
    </row>
    <row r="302" spans="5:12" x14ac:dyDescent="0.25">
      <c r="E302" s="3"/>
      <c r="F302" s="3"/>
      <c r="L302" s="2"/>
    </row>
    <row r="303" spans="5:12" x14ac:dyDescent="0.25">
      <c r="E303" s="3"/>
      <c r="F303" s="3"/>
      <c r="L303" s="2"/>
    </row>
    <row r="304" spans="5:12" x14ac:dyDescent="0.25">
      <c r="E304" s="3"/>
      <c r="F304" s="3"/>
      <c r="L304" s="2"/>
    </row>
    <row r="305" spans="5:12" x14ac:dyDescent="0.25">
      <c r="E305" s="3"/>
      <c r="F305" s="3"/>
      <c r="L305" s="2"/>
    </row>
    <row r="306" spans="5:12" x14ac:dyDescent="0.25">
      <c r="E306" s="3"/>
      <c r="F306" s="3"/>
      <c r="L306" s="2"/>
    </row>
    <row r="307" spans="5:12" x14ac:dyDescent="0.25">
      <c r="E307" s="3"/>
      <c r="F307" s="3"/>
      <c r="L307" s="2"/>
    </row>
    <row r="308" spans="5:12" x14ac:dyDescent="0.25">
      <c r="E308" s="3"/>
      <c r="F308" s="3"/>
      <c r="L308" s="2"/>
    </row>
    <row r="309" spans="5:12" x14ac:dyDescent="0.25">
      <c r="E309" s="3"/>
      <c r="F309" s="3"/>
      <c r="L309" s="2"/>
    </row>
    <row r="310" spans="5:12" x14ac:dyDescent="0.25">
      <c r="E310" s="3"/>
      <c r="F310" s="3"/>
      <c r="L310" s="2"/>
    </row>
    <row r="311" spans="5:12" x14ac:dyDescent="0.25">
      <c r="E311" s="3"/>
      <c r="F311" s="3"/>
      <c r="L311" s="2"/>
    </row>
    <row r="312" spans="5:12" x14ac:dyDescent="0.25">
      <c r="E312" s="3"/>
      <c r="F312" s="3"/>
      <c r="L312" s="2"/>
    </row>
    <row r="313" spans="5:12" x14ac:dyDescent="0.25">
      <c r="E313" s="3"/>
      <c r="F313" s="3"/>
      <c r="L313" s="2"/>
    </row>
    <row r="314" spans="5:12" x14ac:dyDescent="0.25">
      <c r="E314" s="3"/>
      <c r="F314" s="3"/>
      <c r="L314" s="2"/>
    </row>
    <row r="315" spans="5:12" x14ac:dyDescent="0.25">
      <c r="E315" s="3"/>
      <c r="F315" s="3"/>
      <c r="L315" s="2"/>
    </row>
    <row r="316" spans="5:12" x14ac:dyDescent="0.25">
      <c r="E316" s="3"/>
      <c r="F316" s="3"/>
      <c r="L316" s="2"/>
    </row>
    <row r="317" spans="5:12" x14ac:dyDescent="0.25">
      <c r="E317" s="3"/>
      <c r="F317" s="3"/>
      <c r="L317" s="2"/>
    </row>
    <row r="318" spans="5:12" x14ac:dyDescent="0.25">
      <c r="E318" s="3"/>
      <c r="F318" s="3"/>
      <c r="L318" s="2"/>
    </row>
    <row r="319" spans="5:12" x14ac:dyDescent="0.25">
      <c r="E319" s="3"/>
      <c r="F319" s="3"/>
      <c r="L319" s="2"/>
    </row>
    <row r="320" spans="5:12" x14ac:dyDescent="0.25">
      <c r="E320" s="3"/>
      <c r="F320" s="3"/>
      <c r="L320" s="2"/>
    </row>
    <row r="321" spans="5:12" x14ac:dyDescent="0.25">
      <c r="E321" s="3"/>
      <c r="F321" s="3"/>
      <c r="L321" s="2"/>
    </row>
    <row r="322" spans="5:12" x14ac:dyDescent="0.25">
      <c r="E322" s="3"/>
      <c r="F322" s="3"/>
      <c r="L322" s="2"/>
    </row>
    <row r="323" spans="5:12" x14ac:dyDescent="0.25">
      <c r="E323" s="3"/>
      <c r="F323" s="3"/>
      <c r="L323" s="2"/>
    </row>
    <row r="324" spans="5:12" x14ac:dyDescent="0.25">
      <c r="E324" s="3"/>
      <c r="F324" s="3"/>
      <c r="L324" s="2"/>
    </row>
    <row r="325" spans="5:12" x14ac:dyDescent="0.25">
      <c r="E325" s="3"/>
      <c r="F325" s="3"/>
      <c r="L325" s="2"/>
    </row>
    <row r="326" spans="5:12" x14ac:dyDescent="0.25">
      <c r="E326" s="3"/>
      <c r="F326" s="3"/>
      <c r="L326" s="2"/>
    </row>
    <row r="327" spans="5:12" x14ac:dyDescent="0.25">
      <c r="E327" s="3"/>
      <c r="F327" s="3"/>
      <c r="L327" s="2"/>
    </row>
    <row r="328" spans="5:12" x14ac:dyDescent="0.25">
      <c r="E328" s="3"/>
      <c r="F328" s="3"/>
      <c r="L328" s="2"/>
    </row>
    <row r="329" spans="5:12" x14ac:dyDescent="0.25">
      <c r="E329" s="3"/>
      <c r="F329" s="3"/>
      <c r="L329" s="2"/>
    </row>
    <row r="330" spans="5:12" x14ac:dyDescent="0.25">
      <c r="E330" s="3"/>
      <c r="F330" s="3"/>
      <c r="L330" s="2"/>
    </row>
    <row r="331" spans="5:12" x14ac:dyDescent="0.25">
      <c r="E331" s="3"/>
      <c r="F331" s="3"/>
      <c r="L331" s="2"/>
    </row>
    <row r="332" spans="5:12" x14ac:dyDescent="0.25">
      <c r="E332" s="3"/>
      <c r="F332" s="3"/>
      <c r="L332" s="2"/>
    </row>
    <row r="333" spans="5:12" x14ac:dyDescent="0.25">
      <c r="E333" s="3"/>
      <c r="F333" s="3"/>
      <c r="L333" s="2"/>
    </row>
    <row r="334" spans="5:12" x14ac:dyDescent="0.25">
      <c r="E334" s="3"/>
      <c r="F334" s="3"/>
      <c r="L334" s="2"/>
    </row>
    <row r="335" spans="5:12" x14ac:dyDescent="0.25">
      <c r="E335" s="3"/>
      <c r="F335" s="3"/>
      <c r="L335" s="2"/>
    </row>
    <row r="336" spans="5:12" x14ac:dyDescent="0.25">
      <c r="E336" s="3"/>
      <c r="F336" s="3"/>
      <c r="L336" s="2"/>
    </row>
    <row r="337" spans="5:12" x14ac:dyDescent="0.25">
      <c r="E337" s="3"/>
      <c r="F337" s="3"/>
      <c r="L337" s="2"/>
    </row>
    <row r="338" spans="5:12" x14ac:dyDescent="0.25">
      <c r="E338" s="3"/>
      <c r="F338" s="3"/>
      <c r="L338" s="2"/>
    </row>
    <row r="339" spans="5:12" x14ac:dyDescent="0.25">
      <c r="E339" s="3"/>
      <c r="F339" s="3"/>
      <c r="L339" s="2"/>
    </row>
    <row r="340" spans="5:12" x14ac:dyDescent="0.25">
      <c r="E340" s="3"/>
      <c r="F340" s="3"/>
      <c r="L340" s="2"/>
    </row>
    <row r="341" spans="5:12" x14ac:dyDescent="0.25">
      <c r="E341" s="3"/>
      <c r="F341" s="3"/>
      <c r="L341" s="2"/>
    </row>
    <row r="342" spans="5:12" x14ac:dyDescent="0.25">
      <c r="E342" s="3"/>
      <c r="F342" s="3"/>
      <c r="L342" s="2"/>
    </row>
    <row r="343" spans="5:12" x14ac:dyDescent="0.25">
      <c r="E343" s="3"/>
      <c r="F343" s="3"/>
      <c r="L343" s="2"/>
    </row>
    <row r="344" spans="5:12" x14ac:dyDescent="0.25">
      <c r="E344" s="3"/>
      <c r="F344" s="3"/>
      <c r="L344" s="2"/>
    </row>
    <row r="345" spans="5:12" x14ac:dyDescent="0.25">
      <c r="E345" s="3"/>
      <c r="F345" s="3"/>
      <c r="L345" s="2"/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workbookViewId="0">
      <selection activeCell="A19" sqref="A19"/>
    </sheetView>
  </sheetViews>
  <sheetFormatPr defaultRowHeight="15" x14ac:dyDescent="0.25"/>
  <sheetData>
    <row r="1" spans="1:2" x14ac:dyDescent="0.25">
      <c r="A1">
        <v>500</v>
      </c>
      <c r="B1" t="s">
        <v>38</v>
      </c>
    </row>
    <row r="2" spans="1:2" x14ac:dyDescent="0.25">
      <c r="A2">
        <f>A1/60</f>
        <v>8.3333333333333339</v>
      </c>
      <c r="B2" t="s">
        <v>39</v>
      </c>
    </row>
    <row r="3" spans="1:2" x14ac:dyDescent="0.25">
      <c r="A3">
        <v>1.5</v>
      </c>
      <c r="B3" t="s">
        <v>40</v>
      </c>
    </row>
    <row r="4" spans="1:2" x14ac:dyDescent="0.25">
      <c r="A4">
        <f>A7/A5/A3</f>
        <v>6</v>
      </c>
      <c r="B4" t="s">
        <v>41</v>
      </c>
    </row>
    <row r="5" spans="1:2" x14ac:dyDescent="0.25">
      <c r="A5">
        <f>400/1</f>
        <v>400</v>
      </c>
      <c r="B5" t="s">
        <v>42</v>
      </c>
    </row>
    <row r="6" spans="1:2" x14ac:dyDescent="0.25">
      <c r="A6">
        <f>A2*A3*A5</f>
        <v>5000</v>
      </c>
      <c r="B6" t="s">
        <v>43</v>
      </c>
    </row>
    <row r="7" spans="1:2" x14ac:dyDescent="0.25">
      <c r="A7">
        <f>1800*2</f>
        <v>3600</v>
      </c>
      <c r="B7" t="s">
        <v>44</v>
      </c>
    </row>
    <row r="8" spans="1:2" x14ac:dyDescent="0.25">
      <c r="A8">
        <f>A2*A7</f>
        <v>30000.000000000004</v>
      </c>
      <c r="B8" t="s">
        <v>45</v>
      </c>
    </row>
    <row r="11" spans="1:2" x14ac:dyDescent="0.25">
      <c r="A11">
        <f>A3/A7</f>
        <v>4.1666666666666669E-4</v>
      </c>
      <c r="B11" t="s">
        <v>46</v>
      </c>
    </row>
    <row r="14" spans="1:2" x14ac:dyDescent="0.25">
      <c r="A14">
        <v>20</v>
      </c>
      <c r="B14" t="s">
        <v>47</v>
      </c>
    </row>
    <row r="15" spans="1:2" x14ac:dyDescent="0.25">
      <c r="A15" s="16">
        <f>A14/A5</f>
        <v>0.05</v>
      </c>
      <c r="B15" t="s">
        <v>48</v>
      </c>
    </row>
    <row r="16" spans="1:2" x14ac:dyDescent="0.25">
      <c r="A16" s="4">
        <f>A15/A11</f>
        <v>120</v>
      </c>
      <c r="B16" t="s">
        <v>49</v>
      </c>
    </row>
    <row r="18" spans="1:2" x14ac:dyDescent="0.25">
      <c r="A18">
        <f>1366/100000</f>
        <v>1.366E-2</v>
      </c>
      <c r="B18" t="s">
        <v>50</v>
      </c>
    </row>
    <row r="19" spans="1:2" x14ac:dyDescent="0.25">
      <c r="A19">
        <f>A2*A18</f>
        <v>0.11383333333333334</v>
      </c>
    </row>
    <row r="20" spans="1:2" x14ac:dyDescent="0.25">
      <c r="A20">
        <f>A19*A7</f>
        <v>409.8</v>
      </c>
      <c r="B20" t="s">
        <v>51</v>
      </c>
    </row>
    <row r="21" spans="1:2" x14ac:dyDescent="0.25">
      <c r="A21">
        <f>A20*A11</f>
        <v>0.17075000000000001</v>
      </c>
      <c r="B21" t="s">
        <v>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Normal="100" workbookViewId="0">
      <selection activeCell="B5" sqref="B5"/>
    </sheetView>
  </sheetViews>
  <sheetFormatPr defaultRowHeight="15" x14ac:dyDescent="0.25"/>
  <cols>
    <col min="1" max="1" width="24.28515625" bestFit="1" customWidth="1"/>
    <col min="3" max="3" width="10.85546875" bestFit="1" customWidth="1"/>
    <col min="4" max="4" width="14.28515625" bestFit="1" customWidth="1"/>
    <col min="5" max="5" width="31.85546875" customWidth="1"/>
  </cols>
  <sheetData>
    <row r="1" spans="1:12" x14ac:dyDescent="0.25">
      <c r="A1" t="s">
        <v>73</v>
      </c>
    </row>
    <row r="2" spans="1:12" x14ac:dyDescent="0.25">
      <c r="A2" t="s">
        <v>72</v>
      </c>
    </row>
    <row r="3" spans="1:12" x14ac:dyDescent="0.25">
      <c r="A3" t="s">
        <v>71</v>
      </c>
    </row>
    <row r="4" spans="1:12" x14ac:dyDescent="0.25">
      <c r="B4" t="s">
        <v>70</v>
      </c>
      <c r="C4" t="s">
        <v>69</v>
      </c>
    </row>
    <row r="5" spans="1:12" x14ac:dyDescent="0.25">
      <c r="A5" t="s">
        <v>68</v>
      </c>
      <c r="B5">
        <f>10/2</f>
        <v>5</v>
      </c>
      <c r="C5" s="4">
        <f t="shared" ref="C5:C15" si="0">B5*400</f>
        <v>2000</v>
      </c>
      <c r="D5">
        <f>C5*1024</f>
        <v>2048000</v>
      </c>
    </row>
    <row r="6" spans="1:12" x14ac:dyDescent="0.25">
      <c r="A6" t="s">
        <v>67</v>
      </c>
      <c r="B6">
        <v>-2.5</v>
      </c>
      <c r="C6" s="4">
        <f t="shared" si="0"/>
        <v>-1000</v>
      </c>
      <c r="G6" s="8"/>
      <c r="H6" s="8"/>
      <c r="I6" s="8"/>
      <c r="J6" s="8"/>
      <c r="K6" s="8"/>
      <c r="L6" s="8"/>
    </row>
    <row r="7" spans="1:12" x14ac:dyDescent="0.25">
      <c r="A7" t="s">
        <v>66</v>
      </c>
      <c r="B7">
        <f>12/2</f>
        <v>6</v>
      </c>
      <c r="C7" s="4">
        <f t="shared" si="0"/>
        <v>2400</v>
      </c>
      <c r="D7">
        <f>C7*1024</f>
        <v>2457600</v>
      </c>
      <c r="G7" s="8"/>
      <c r="H7" s="8"/>
      <c r="I7" s="8"/>
      <c r="J7" s="8"/>
      <c r="K7" s="8"/>
      <c r="L7" s="8"/>
    </row>
    <row r="8" spans="1:12" x14ac:dyDescent="0.25">
      <c r="A8" t="s">
        <v>65</v>
      </c>
      <c r="B8">
        <v>-4.5</v>
      </c>
      <c r="C8" s="4">
        <f t="shared" si="0"/>
        <v>-1800</v>
      </c>
      <c r="G8" s="8"/>
      <c r="H8" s="8"/>
      <c r="I8" s="8"/>
      <c r="J8" s="8"/>
      <c r="K8" s="8"/>
      <c r="L8" s="8"/>
    </row>
    <row r="9" spans="1:12" x14ac:dyDescent="0.25">
      <c r="A9" t="s">
        <v>64</v>
      </c>
      <c r="B9">
        <v>-1.99</v>
      </c>
      <c r="C9" s="4">
        <f t="shared" si="0"/>
        <v>-796</v>
      </c>
      <c r="D9">
        <f>C9*1024</f>
        <v>-815104</v>
      </c>
      <c r="E9" s="4"/>
      <c r="G9" s="8"/>
      <c r="H9" s="8"/>
      <c r="I9" s="8">
        <v>7</v>
      </c>
      <c r="J9" s="8">
        <v>0</v>
      </c>
      <c r="K9" s="8"/>
      <c r="L9" s="8"/>
    </row>
    <row r="10" spans="1:12" x14ac:dyDescent="0.25">
      <c r="A10" t="s">
        <v>63</v>
      </c>
      <c r="B10">
        <v>-2.2450000000000001</v>
      </c>
      <c r="C10" s="4">
        <f t="shared" si="0"/>
        <v>-898</v>
      </c>
      <c r="D10">
        <f>C10*1024</f>
        <v>-919552</v>
      </c>
      <c r="E10" s="4"/>
      <c r="G10" s="8"/>
      <c r="H10" s="8"/>
      <c r="I10" s="8"/>
      <c r="J10" s="8"/>
      <c r="K10" s="8"/>
      <c r="L10" s="8"/>
    </row>
    <row r="11" spans="1:12" x14ac:dyDescent="0.25">
      <c r="A11" t="s">
        <v>62</v>
      </c>
      <c r="B11">
        <f>B5+B9</f>
        <v>3.01</v>
      </c>
      <c r="C11" s="4">
        <f t="shared" si="0"/>
        <v>1204</v>
      </c>
      <c r="E11" s="4"/>
      <c r="G11" s="8"/>
      <c r="H11" s="8">
        <v>6</v>
      </c>
      <c r="I11" s="8"/>
      <c r="J11" s="8"/>
      <c r="K11" s="8">
        <v>1</v>
      </c>
      <c r="L11" s="8"/>
    </row>
    <row r="12" spans="1:12" x14ac:dyDescent="0.25">
      <c r="A12" t="s">
        <v>61</v>
      </c>
      <c r="B12">
        <f>B6+B10</f>
        <v>-4.7450000000000001</v>
      </c>
      <c r="C12" s="4">
        <f t="shared" si="0"/>
        <v>-1898</v>
      </c>
      <c r="G12" s="8"/>
      <c r="H12" s="8"/>
      <c r="I12" s="8"/>
      <c r="J12" s="8"/>
      <c r="K12" s="8"/>
      <c r="L12" s="8"/>
    </row>
    <row r="13" spans="1:12" x14ac:dyDescent="0.25">
      <c r="A13" t="s">
        <v>60</v>
      </c>
      <c r="B13">
        <f>-(B5+B9)</f>
        <v>-3.01</v>
      </c>
      <c r="C13" s="4">
        <f t="shared" si="0"/>
        <v>-1204</v>
      </c>
      <c r="G13" s="8"/>
      <c r="H13" s="8"/>
      <c r="I13" s="8"/>
      <c r="J13" s="8"/>
      <c r="K13" s="8"/>
      <c r="L13" s="8"/>
    </row>
    <row r="14" spans="1:12" x14ac:dyDescent="0.25">
      <c r="A14" t="s">
        <v>59</v>
      </c>
      <c r="B14">
        <f>-(B6+B10)</f>
        <v>4.7450000000000001</v>
      </c>
      <c r="C14" s="4">
        <f t="shared" si="0"/>
        <v>1898</v>
      </c>
      <c r="E14" s="4"/>
      <c r="G14" s="8"/>
      <c r="H14" s="8"/>
      <c r="I14" s="8"/>
      <c r="J14" s="8"/>
      <c r="K14" s="8"/>
      <c r="L14" s="8"/>
    </row>
    <row r="15" spans="1:12" x14ac:dyDescent="0.25">
      <c r="A15" t="s">
        <v>58</v>
      </c>
      <c r="B15">
        <f>SQRT(B9*B9+B10*B10)</f>
        <v>3.0000208332609959</v>
      </c>
      <c r="C15" s="4">
        <f t="shared" si="0"/>
        <v>1200.0083333043983</v>
      </c>
      <c r="G15" s="8"/>
      <c r="H15" s="8">
        <v>5</v>
      </c>
      <c r="I15" s="8"/>
      <c r="J15" s="8"/>
      <c r="K15" s="8">
        <v>2</v>
      </c>
      <c r="L15" s="8"/>
    </row>
    <row r="16" spans="1:12" x14ac:dyDescent="0.25">
      <c r="A16" t="s">
        <v>57</v>
      </c>
      <c r="B16">
        <f>SQRT(B15*B15/2)</f>
        <v>2.121335074899767</v>
      </c>
      <c r="C16" s="2">
        <f>INT(B16*400)</f>
        <v>848</v>
      </c>
      <c r="D16">
        <f>C16*1024</f>
        <v>868352</v>
      </c>
      <c r="G16" s="8"/>
      <c r="H16" s="8"/>
      <c r="I16" s="8"/>
      <c r="J16" s="8"/>
      <c r="K16" s="8"/>
      <c r="L16" s="8"/>
    </row>
    <row r="17" spans="1:12" x14ac:dyDescent="0.25">
      <c r="G17" s="8"/>
      <c r="H17" s="8"/>
      <c r="I17" s="8"/>
      <c r="J17" s="8"/>
      <c r="K17" s="8"/>
      <c r="L17" s="8"/>
    </row>
    <row r="18" spans="1:12" x14ac:dyDescent="0.25">
      <c r="A18" t="s">
        <v>56</v>
      </c>
      <c r="B18">
        <f>B5+B13</f>
        <v>1.9900000000000002</v>
      </c>
      <c r="C18" s="4">
        <f>B18*400</f>
        <v>796.00000000000011</v>
      </c>
      <c r="D18" s="4">
        <f>C18*1024</f>
        <v>815104.00000000012</v>
      </c>
      <c r="G18" s="8"/>
      <c r="H18" s="8"/>
      <c r="I18" s="8">
        <v>4</v>
      </c>
      <c r="J18" s="8">
        <v>3</v>
      </c>
      <c r="K18" s="8"/>
      <c r="L18" s="8"/>
    </row>
    <row r="19" spans="1:12" x14ac:dyDescent="0.25">
      <c r="A19" t="s">
        <v>55</v>
      </c>
      <c r="B19">
        <f>B6+B14</f>
        <v>2.2450000000000001</v>
      </c>
      <c r="C19" s="4">
        <f>B19*400</f>
        <v>898</v>
      </c>
      <c r="D19" s="4">
        <f>C19*1024</f>
        <v>919552</v>
      </c>
      <c r="G19" s="8"/>
      <c r="H19" s="8"/>
      <c r="I19" s="8"/>
      <c r="J19" s="8"/>
      <c r="K19" s="8"/>
      <c r="L19" s="8"/>
    </row>
    <row r="20" spans="1:12" x14ac:dyDescent="0.25">
      <c r="A20" t="s">
        <v>54</v>
      </c>
      <c r="B20">
        <f>B7+B13</f>
        <v>2.99</v>
      </c>
      <c r="C20" s="4">
        <f>B20*400</f>
        <v>1196</v>
      </c>
      <c r="D20" s="4">
        <f>C20*1024</f>
        <v>1224704</v>
      </c>
      <c r="G20" s="8"/>
      <c r="H20" s="8"/>
      <c r="I20" s="8"/>
      <c r="J20" s="8"/>
      <c r="K20" s="8"/>
      <c r="L20" s="8"/>
    </row>
    <row r="21" spans="1:12" x14ac:dyDescent="0.25">
      <c r="A21" t="s">
        <v>53</v>
      </c>
      <c r="B21">
        <f>B8+B14</f>
        <v>0.24500000000000011</v>
      </c>
      <c r="C21" s="4">
        <f>B21*400</f>
        <v>98.000000000000043</v>
      </c>
      <c r="D21" s="4">
        <f>C21*1024</f>
        <v>100352.00000000004</v>
      </c>
      <c r="G21" s="8"/>
      <c r="H21" s="8"/>
      <c r="I21" s="8"/>
      <c r="J21" s="8"/>
      <c r="K21" s="8"/>
      <c r="L21" s="8"/>
    </row>
    <row r="22" spans="1:12" x14ac:dyDescent="0.25">
      <c r="G22" s="8"/>
      <c r="H22" s="8"/>
      <c r="I22" s="8"/>
      <c r="J22" s="8"/>
      <c r="K22" s="8"/>
      <c r="L22" s="8"/>
    </row>
    <row r="23" spans="1:12" x14ac:dyDescent="0.25">
      <c r="G23" s="8"/>
      <c r="H23" s="8"/>
      <c r="I23" s="8"/>
      <c r="J23" s="8"/>
      <c r="K23" s="8"/>
      <c r="L23" s="8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0"/>
  <sheetViews>
    <sheetView topLeftCell="J1" zoomScaleNormal="100" workbookViewId="0">
      <selection activeCell="V33" sqref="V33"/>
    </sheetView>
  </sheetViews>
  <sheetFormatPr defaultRowHeight="15" x14ac:dyDescent="0.25"/>
  <cols>
    <col min="1" max="1" width="7.42578125" customWidth="1"/>
    <col min="2" max="2" width="7.28515625" customWidth="1"/>
    <col min="6" max="6" width="11.7109375" bestFit="1" customWidth="1"/>
    <col min="9" max="9" width="14.140625" customWidth="1"/>
    <col min="10" max="10" width="6.85546875" customWidth="1"/>
    <col min="11" max="11" width="48.28515625" customWidth="1"/>
    <col min="12" max="12" width="5" customWidth="1"/>
    <col min="13" max="13" width="7.28515625" customWidth="1"/>
    <col min="14" max="14" width="4.42578125" customWidth="1"/>
    <col min="15" max="15" width="3.28515625" customWidth="1"/>
    <col min="16" max="16" width="5.28515625" customWidth="1"/>
    <col min="17" max="17" width="8.85546875" customWidth="1"/>
    <col min="18" max="18" width="21.140625" customWidth="1"/>
    <col min="19" max="19" width="20.7109375" bestFit="1" customWidth="1"/>
    <col min="20" max="21" width="12.42578125" bestFit="1" customWidth="1"/>
    <col min="22" max="22" width="23.28515625" customWidth="1"/>
    <col min="23" max="23" width="12.42578125" customWidth="1"/>
    <col min="25" max="25" width="2" bestFit="1" customWidth="1"/>
    <col min="26" max="26" width="4.7109375" bestFit="1" customWidth="1"/>
    <col min="28" max="28" width="8.28515625" customWidth="1"/>
    <col min="30" max="30" width="4.7109375" bestFit="1" customWidth="1"/>
    <col min="31" max="31" width="3" bestFit="1" customWidth="1"/>
  </cols>
  <sheetData>
    <row r="1" spans="1:34" x14ac:dyDescent="0.25">
      <c r="R1" t="s">
        <v>74</v>
      </c>
      <c r="S1">
        <v>7</v>
      </c>
      <c r="T1">
        <f>S1*S1</f>
        <v>49</v>
      </c>
      <c r="U1">
        <f>T1*T2</f>
        <v>784</v>
      </c>
    </row>
    <row r="2" spans="1:34" x14ac:dyDescent="0.25">
      <c r="E2" t="s">
        <v>75</v>
      </c>
      <c r="F2" t="s">
        <v>76</v>
      </c>
      <c r="G2" t="s">
        <v>77</v>
      </c>
      <c r="H2" t="s">
        <v>78</v>
      </c>
      <c r="K2" s="4">
        <f>600/8</f>
        <v>75</v>
      </c>
      <c r="L2" s="4"/>
      <c r="M2" s="4"/>
      <c r="N2">
        <f>50*K2</f>
        <v>3750</v>
      </c>
      <c r="R2" t="s">
        <v>79</v>
      </c>
      <c r="S2">
        <v>4</v>
      </c>
      <c r="T2">
        <f>S2*S2</f>
        <v>16</v>
      </c>
    </row>
    <row r="3" spans="1:34" x14ac:dyDescent="0.25">
      <c r="A3" t="s">
        <v>68</v>
      </c>
      <c r="B3">
        <f>-S1</f>
        <v>-7</v>
      </c>
      <c r="F3">
        <f>B5+B6</f>
        <v>-159</v>
      </c>
    </row>
    <row r="4" spans="1:34" ht="15.75" thickBot="1" x14ac:dyDescent="0.3">
      <c r="A4" t="s">
        <v>75</v>
      </c>
      <c r="B4">
        <f>S2</f>
        <v>4</v>
      </c>
      <c r="E4">
        <f>2*F4</f>
        <v>-318</v>
      </c>
      <c r="F4">
        <f>(B3+1)*(B3+1)*$T$2+(B7+1)*(B7+1)*$T$1-$T$1*$T$2</f>
        <v>-159</v>
      </c>
      <c r="G4">
        <f>B3</f>
        <v>-7</v>
      </c>
      <c r="H4">
        <f>B7</f>
        <v>0</v>
      </c>
      <c r="I4">
        <f>(2*G4+1)*S2*S2</f>
        <v>-208</v>
      </c>
      <c r="L4" t="s">
        <v>80</v>
      </c>
      <c r="V4" s="20"/>
      <c r="W4" s="20" t="s">
        <v>81</v>
      </c>
    </row>
    <row r="5" spans="1:34" x14ac:dyDescent="0.25">
      <c r="A5" t="s">
        <v>82</v>
      </c>
      <c r="B5">
        <f>(1+2*B3)*B4*B4</f>
        <v>-208</v>
      </c>
      <c r="L5" s="21" t="s">
        <v>82</v>
      </c>
      <c r="M5" s="22" t="s">
        <v>83</v>
      </c>
      <c r="N5" s="22" t="s">
        <v>77</v>
      </c>
      <c r="O5" s="22" t="s">
        <v>84</v>
      </c>
      <c r="P5" s="22" t="s">
        <v>85</v>
      </c>
      <c r="Q5" s="22" t="s">
        <v>86</v>
      </c>
      <c r="R5" s="22" t="s">
        <v>87</v>
      </c>
      <c r="S5" s="22" t="s">
        <v>88</v>
      </c>
      <c r="T5" s="22" t="s">
        <v>89</v>
      </c>
      <c r="U5" s="23" t="s">
        <v>90</v>
      </c>
      <c r="W5" s="20"/>
      <c r="X5" s="24"/>
      <c r="Y5" s="24"/>
    </row>
    <row r="6" spans="1:34" x14ac:dyDescent="0.25">
      <c r="A6" t="s">
        <v>83</v>
      </c>
      <c r="B6">
        <f>B3*B3</f>
        <v>49</v>
      </c>
      <c r="L6" s="25">
        <v>1</v>
      </c>
      <c r="M6" s="20">
        <v>1</v>
      </c>
      <c r="N6" s="20">
        <f>-7</f>
        <v>-7</v>
      </c>
      <c r="O6" s="20">
        <v>0</v>
      </c>
      <c r="P6" s="20">
        <f t="shared" ref="P6:P14" si="0">(N6)*(N6)*$T$2+(O6)*(O6)*$T$1-$U$1</f>
        <v>0</v>
      </c>
      <c r="Q6" s="20">
        <f>(N6+L6)*(N6+L6)*$T$2+(O6+M6)*(O6+M6)*$T$1-$U$1</f>
        <v>-159</v>
      </c>
      <c r="R6" s="26">
        <f t="shared" ref="R6:R14" si="1">(N6+L6)*(N6+L6)*$T$2+O6*O6*$T$1-$U$1</f>
        <v>-208</v>
      </c>
      <c r="S6" s="26">
        <f t="shared" ref="S6:S14" si="2">N6*N6*$T$2+(O6+M6)*(O6+M6)*$T$1-$U$1</f>
        <v>49</v>
      </c>
      <c r="T6" s="26">
        <f>Q6+S6</f>
        <v>-110</v>
      </c>
      <c r="U6" s="27">
        <f>Q6+R6</f>
        <v>-367</v>
      </c>
      <c r="V6" s="20"/>
      <c r="W6" s="26">
        <f>P6+(2*N6+1)*$T$2+(2*O6+1)*$T$1</f>
        <v>-159</v>
      </c>
      <c r="AG6" t="s">
        <v>91</v>
      </c>
      <c r="AH6" t="s">
        <v>92</v>
      </c>
    </row>
    <row r="7" spans="1:34" x14ac:dyDescent="0.25">
      <c r="A7" t="s">
        <v>67</v>
      </c>
      <c r="B7">
        <v>0</v>
      </c>
      <c r="L7" s="25">
        <v>1</v>
      </c>
      <c r="M7" s="20">
        <v>1</v>
      </c>
      <c r="N7" s="20">
        <v>-7</v>
      </c>
      <c r="O7" s="20">
        <v>1</v>
      </c>
      <c r="P7" s="20">
        <f t="shared" si="0"/>
        <v>49</v>
      </c>
      <c r="Q7" s="20">
        <f t="shared" ref="Q7:Q14" si="3">(N7+L7)*(N7+L7)*$T$2+(O7+M7)*(O7+M7)*$T$1-$U$1</f>
        <v>-12</v>
      </c>
      <c r="R7" s="26">
        <f t="shared" si="1"/>
        <v>-159</v>
      </c>
      <c r="S7" s="26">
        <f t="shared" si="2"/>
        <v>196</v>
      </c>
      <c r="T7" s="26">
        <f>Q7+S7</f>
        <v>184</v>
      </c>
      <c r="U7" s="27">
        <f>Q7+R7</f>
        <v>-171</v>
      </c>
      <c r="V7" s="26"/>
      <c r="W7" s="26">
        <f t="shared" ref="W7:W14" si="4">P7+(2*N7+1)*$T$2+(2*O7+1)*$T$1</f>
        <v>-12</v>
      </c>
      <c r="AA7" t="s">
        <v>144</v>
      </c>
    </row>
    <row r="8" spans="1:34" x14ac:dyDescent="0.25">
      <c r="L8" s="25">
        <v>1</v>
      </c>
      <c r="M8" s="20">
        <v>1</v>
      </c>
      <c r="N8" s="20">
        <v>-6</v>
      </c>
      <c r="O8" s="20">
        <v>2</v>
      </c>
      <c r="P8" s="20">
        <f t="shared" si="0"/>
        <v>-12</v>
      </c>
      <c r="Q8" s="20">
        <f t="shared" si="3"/>
        <v>57</v>
      </c>
      <c r="R8" s="26">
        <f t="shared" si="1"/>
        <v>-188</v>
      </c>
      <c r="S8" s="26">
        <f t="shared" si="2"/>
        <v>233</v>
      </c>
      <c r="T8" s="26">
        <f t="shared" ref="T8:T14" si="5">Q8+S8</f>
        <v>290</v>
      </c>
      <c r="U8" s="27">
        <f t="shared" ref="U8:U14" si="6">Q8+R8</f>
        <v>-131</v>
      </c>
      <c r="V8" s="26"/>
      <c r="W8" s="26">
        <f t="shared" si="4"/>
        <v>57</v>
      </c>
      <c r="AA8" t="s">
        <v>142</v>
      </c>
    </row>
    <row r="9" spans="1:34" x14ac:dyDescent="0.25">
      <c r="L9" s="25">
        <v>1</v>
      </c>
      <c r="M9" s="20">
        <v>1</v>
      </c>
      <c r="N9" s="20">
        <v>-5</v>
      </c>
      <c r="O9" s="20">
        <v>3</v>
      </c>
      <c r="P9" s="20">
        <f t="shared" si="0"/>
        <v>57</v>
      </c>
      <c r="Q9" s="20">
        <f t="shared" si="3"/>
        <v>256</v>
      </c>
      <c r="R9" s="26">
        <f t="shared" si="1"/>
        <v>-87</v>
      </c>
      <c r="S9" s="26">
        <f t="shared" si="2"/>
        <v>400</v>
      </c>
      <c r="T9" s="26">
        <f t="shared" si="5"/>
        <v>656</v>
      </c>
      <c r="U9" s="27">
        <f t="shared" si="6"/>
        <v>169</v>
      </c>
      <c r="V9" s="26"/>
      <c r="W9" s="26">
        <f t="shared" si="4"/>
        <v>256</v>
      </c>
      <c r="AA9" t="s">
        <v>143</v>
      </c>
    </row>
    <row r="10" spans="1:34" x14ac:dyDescent="0.25">
      <c r="L10" s="25">
        <v>1</v>
      </c>
      <c r="M10" s="20">
        <v>1</v>
      </c>
      <c r="N10" s="20">
        <v>-4</v>
      </c>
      <c r="O10" s="20">
        <v>3</v>
      </c>
      <c r="P10" s="20">
        <f t="shared" si="0"/>
        <v>-87</v>
      </c>
      <c r="Q10" s="20">
        <f t="shared" si="3"/>
        <v>144</v>
      </c>
      <c r="R10" s="26">
        <f t="shared" si="1"/>
        <v>-199</v>
      </c>
      <c r="S10" s="26">
        <f t="shared" si="2"/>
        <v>256</v>
      </c>
      <c r="T10" s="26">
        <f t="shared" si="5"/>
        <v>400</v>
      </c>
      <c r="U10" s="27">
        <f t="shared" si="6"/>
        <v>-55</v>
      </c>
      <c r="V10" s="26"/>
      <c r="W10" s="26">
        <f t="shared" si="4"/>
        <v>144</v>
      </c>
    </row>
    <row r="11" spans="1:34" x14ac:dyDescent="0.25">
      <c r="K11">
        <f>57+(-245)</f>
        <v>-188</v>
      </c>
      <c r="L11" s="25">
        <v>1</v>
      </c>
      <c r="M11" s="20">
        <v>1</v>
      </c>
      <c r="N11" s="20">
        <v>-3</v>
      </c>
      <c r="O11" s="20">
        <v>4</v>
      </c>
      <c r="P11" s="20">
        <f t="shared" si="0"/>
        <v>144</v>
      </c>
      <c r="Q11" s="20">
        <f t="shared" si="3"/>
        <v>505</v>
      </c>
      <c r="R11" s="26">
        <f t="shared" si="1"/>
        <v>64</v>
      </c>
      <c r="S11" s="26">
        <f t="shared" si="2"/>
        <v>585</v>
      </c>
      <c r="T11" s="26">
        <f t="shared" si="5"/>
        <v>1090</v>
      </c>
      <c r="U11" s="27">
        <f t="shared" si="6"/>
        <v>569</v>
      </c>
      <c r="V11" s="26"/>
      <c r="W11" s="26">
        <f t="shared" si="4"/>
        <v>505</v>
      </c>
    </row>
    <row r="12" spans="1:34" x14ac:dyDescent="0.25">
      <c r="K12">
        <f>-188-57</f>
        <v>-245</v>
      </c>
      <c r="L12" s="25">
        <v>1</v>
      </c>
      <c r="M12" s="20">
        <v>1</v>
      </c>
      <c r="N12" s="20">
        <v>-2</v>
      </c>
      <c r="O12" s="20">
        <v>4</v>
      </c>
      <c r="P12" s="20">
        <f t="shared" si="0"/>
        <v>64</v>
      </c>
      <c r="Q12" s="20">
        <f t="shared" si="3"/>
        <v>457</v>
      </c>
      <c r="R12" s="26">
        <f t="shared" si="1"/>
        <v>16</v>
      </c>
      <c r="S12" s="26">
        <f t="shared" si="2"/>
        <v>505</v>
      </c>
      <c r="T12" s="26">
        <f t="shared" si="5"/>
        <v>962</v>
      </c>
      <c r="U12" s="27">
        <f t="shared" si="6"/>
        <v>473</v>
      </c>
      <c r="V12" s="26"/>
      <c r="W12" s="26">
        <f t="shared" si="4"/>
        <v>457</v>
      </c>
    </row>
    <row r="13" spans="1:34" x14ac:dyDescent="0.25">
      <c r="K13">
        <f>7*7*2</f>
        <v>98</v>
      </c>
      <c r="L13" s="25">
        <v>1</v>
      </c>
      <c r="M13" s="20">
        <v>1</v>
      </c>
      <c r="N13" s="20">
        <v>-1</v>
      </c>
      <c r="O13" s="20">
        <v>4</v>
      </c>
      <c r="P13" s="20">
        <f t="shared" si="0"/>
        <v>16</v>
      </c>
      <c r="Q13" s="20">
        <f t="shared" si="3"/>
        <v>441</v>
      </c>
      <c r="R13" s="26">
        <f t="shared" si="1"/>
        <v>0</v>
      </c>
      <c r="S13" s="26">
        <f t="shared" si="2"/>
        <v>457</v>
      </c>
      <c r="T13" s="26">
        <f t="shared" si="5"/>
        <v>898</v>
      </c>
      <c r="U13" s="27">
        <f t="shared" si="6"/>
        <v>441</v>
      </c>
      <c r="V13" s="26"/>
      <c r="W13" s="26">
        <f t="shared" si="4"/>
        <v>441</v>
      </c>
      <c r="Z13" t="s">
        <v>93</v>
      </c>
      <c r="AA13" s="28" t="s">
        <v>94</v>
      </c>
    </row>
    <row r="14" spans="1:34" x14ac:dyDescent="0.25">
      <c r="K14">
        <f>K12+K13</f>
        <v>-147</v>
      </c>
      <c r="L14" s="25">
        <v>1</v>
      </c>
      <c r="M14" s="20">
        <v>1</v>
      </c>
      <c r="N14" s="20">
        <v>0</v>
      </c>
      <c r="O14" s="20">
        <v>4</v>
      </c>
      <c r="P14" s="20">
        <f t="shared" si="0"/>
        <v>0</v>
      </c>
      <c r="Q14" s="20">
        <f t="shared" si="3"/>
        <v>457</v>
      </c>
      <c r="R14" s="26">
        <f t="shared" si="1"/>
        <v>16</v>
      </c>
      <c r="S14" s="26">
        <f t="shared" si="2"/>
        <v>441</v>
      </c>
      <c r="T14" s="26">
        <f t="shared" si="5"/>
        <v>898</v>
      </c>
      <c r="U14" s="27">
        <f t="shared" si="6"/>
        <v>473</v>
      </c>
      <c r="V14" s="26"/>
      <c r="W14" s="26">
        <f t="shared" si="4"/>
        <v>457</v>
      </c>
      <c r="AA14" t="s">
        <v>95</v>
      </c>
    </row>
    <row r="15" spans="1:34" x14ac:dyDescent="0.25">
      <c r="K15">
        <f>K12-K13</f>
        <v>-343</v>
      </c>
      <c r="L15" s="29"/>
      <c r="M15" s="26"/>
      <c r="N15" s="26"/>
      <c r="O15" s="26"/>
      <c r="P15" s="26"/>
      <c r="Q15" s="26"/>
      <c r="R15" s="26"/>
      <c r="S15" s="26"/>
      <c r="T15" s="26"/>
      <c r="U15" s="27"/>
      <c r="V15" s="26"/>
      <c r="W15" s="26"/>
      <c r="AA15" t="s">
        <v>96</v>
      </c>
    </row>
    <row r="16" spans="1:34" x14ac:dyDescent="0.25">
      <c r="L16" s="29" t="s">
        <v>97</v>
      </c>
      <c r="M16" s="26"/>
      <c r="N16" s="26"/>
      <c r="O16" s="26"/>
      <c r="P16" s="26"/>
      <c r="Q16" s="26"/>
      <c r="R16" s="26"/>
      <c r="S16" s="26"/>
      <c r="T16" s="26"/>
      <c r="U16" s="27"/>
      <c r="V16" s="26"/>
      <c r="W16" s="26"/>
      <c r="AA16" s="28" t="s">
        <v>98</v>
      </c>
    </row>
    <row r="17" spans="1:32" x14ac:dyDescent="0.25">
      <c r="L17" s="25" t="s">
        <v>82</v>
      </c>
      <c r="M17" s="20" t="s">
        <v>83</v>
      </c>
      <c r="N17" s="20" t="s">
        <v>77</v>
      </c>
      <c r="O17" s="20" t="s">
        <v>84</v>
      </c>
      <c r="P17" s="20" t="s">
        <v>85</v>
      </c>
      <c r="Q17" s="20" t="s">
        <v>86</v>
      </c>
      <c r="R17" s="20" t="s">
        <v>87</v>
      </c>
      <c r="S17" s="20" t="s">
        <v>99</v>
      </c>
      <c r="T17" s="20" t="s">
        <v>100</v>
      </c>
      <c r="U17" s="30" t="s">
        <v>101</v>
      </c>
      <c r="V17" s="20"/>
      <c r="W17" s="28" t="s">
        <v>94</v>
      </c>
      <c r="Z17" t="s">
        <v>102</v>
      </c>
      <c r="AA17" t="s">
        <v>103</v>
      </c>
      <c r="AC17" t="s">
        <v>104</v>
      </c>
      <c r="AF17" t="s">
        <v>105</v>
      </c>
    </row>
    <row r="18" spans="1:32" x14ac:dyDescent="0.25">
      <c r="L18" s="25">
        <v>1</v>
      </c>
      <c r="M18" s="20">
        <v>-1</v>
      </c>
      <c r="N18" s="20">
        <v>0</v>
      </c>
      <c r="O18" s="20">
        <v>4</v>
      </c>
      <c r="P18" s="20">
        <f t="shared" ref="P18:P26" si="7">(N18)*(N18)*$T$2+(O18)*(O18)*$T$1-$U$1</f>
        <v>0</v>
      </c>
      <c r="Q18" s="20">
        <f t="shared" ref="Q18:Q26" si="8">(N18+L18)*(N18+L18)*$T$2+(O18+M18)*(O18+M18)*$T$1-$U$1</f>
        <v>-327</v>
      </c>
      <c r="R18" s="26">
        <f t="shared" ref="R18:R26" si="9">(N18+L18)*(N18+L18)*$T$2+O18*O18*$T$1-$U$1</f>
        <v>16</v>
      </c>
      <c r="S18" s="26">
        <f t="shared" ref="S18:S26" si="10">N18*N18*$T$2+(O18+M18)*(O18+M18)*$T$1-$U$1</f>
        <v>-343</v>
      </c>
      <c r="T18" s="26">
        <f>Q18+S18</f>
        <v>-670</v>
      </c>
      <c r="U18" s="27">
        <f>Q18+R18</f>
        <v>-311</v>
      </c>
      <c r="V18" s="26">
        <f>Q18-Q19</f>
        <v>-48</v>
      </c>
      <c r="W18" s="26">
        <f>P18+(2*N18+1)*$T$2-(2*O18-1)*$T$1</f>
        <v>-327</v>
      </c>
      <c r="Z18">
        <f t="shared" ref="Z18:Z26" si="11">W18+(2*O18-1)*$T$1</f>
        <v>16</v>
      </c>
      <c r="AA18">
        <f t="shared" ref="AA18:AA26" si="12">W18-(2*N18+1)*$T$2</f>
        <v>-343</v>
      </c>
      <c r="AC18">
        <f>2*W18</f>
        <v>-654</v>
      </c>
      <c r="AD18">
        <f>-Z18</f>
        <v>-16</v>
      </c>
    </row>
    <row r="19" spans="1:32" x14ac:dyDescent="0.25">
      <c r="L19" s="25">
        <v>1</v>
      </c>
      <c r="M19" s="20">
        <v>-1</v>
      </c>
      <c r="N19" s="20">
        <v>1</v>
      </c>
      <c r="O19" s="20">
        <v>4</v>
      </c>
      <c r="P19" s="20">
        <f t="shared" si="7"/>
        <v>16</v>
      </c>
      <c r="Q19" s="20">
        <f t="shared" si="8"/>
        <v>-279</v>
      </c>
      <c r="R19" s="26">
        <f t="shared" si="9"/>
        <v>64</v>
      </c>
      <c r="S19" s="26">
        <f t="shared" si="10"/>
        <v>-327</v>
      </c>
      <c r="T19" s="26">
        <f t="shared" ref="T19:T26" si="13">Q19+S19</f>
        <v>-606</v>
      </c>
      <c r="U19" s="27">
        <f t="shared" ref="U19:U26" si="14">Q19+R19</f>
        <v>-215</v>
      </c>
      <c r="V19" s="26">
        <f>Q19-Q20</f>
        <v>-80</v>
      </c>
      <c r="W19" s="26">
        <f>P19+(2*N19+1)*$T$2-(2*O19-1)*$T$1</f>
        <v>-279</v>
      </c>
      <c r="Z19">
        <f t="shared" si="11"/>
        <v>64</v>
      </c>
      <c r="AA19">
        <f t="shared" si="12"/>
        <v>-327</v>
      </c>
      <c r="AC19">
        <f>2*W19</f>
        <v>-558</v>
      </c>
      <c r="AD19">
        <f>-Z19</f>
        <v>-64</v>
      </c>
    </row>
    <row r="20" spans="1:32" x14ac:dyDescent="0.25">
      <c r="K20" t="s">
        <v>80</v>
      </c>
      <c r="L20" s="25">
        <v>1</v>
      </c>
      <c r="M20" s="20">
        <v>-1</v>
      </c>
      <c r="N20" s="20">
        <v>2</v>
      </c>
      <c r="O20" s="20">
        <v>4</v>
      </c>
      <c r="P20" s="20">
        <f t="shared" si="7"/>
        <v>64</v>
      </c>
      <c r="Q20" s="20">
        <f t="shared" si="8"/>
        <v>-199</v>
      </c>
      <c r="R20" s="26">
        <f t="shared" si="9"/>
        <v>144</v>
      </c>
      <c r="S20" s="26">
        <f t="shared" si="10"/>
        <v>-279</v>
      </c>
      <c r="T20" s="26">
        <f t="shared" si="13"/>
        <v>-478</v>
      </c>
      <c r="U20" s="27">
        <f t="shared" si="14"/>
        <v>-55</v>
      </c>
      <c r="V20" s="26">
        <f>Q20-Q21</f>
        <v>-112</v>
      </c>
      <c r="W20" s="26">
        <f>P20+(2*N20+1)*$T$2-(2*O20-1)*$T$1</f>
        <v>-199</v>
      </c>
      <c r="Z20">
        <f t="shared" si="11"/>
        <v>144</v>
      </c>
      <c r="AA20">
        <f t="shared" si="12"/>
        <v>-279</v>
      </c>
      <c r="AC20">
        <f>2*W20</f>
        <v>-398</v>
      </c>
      <c r="AD20">
        <f>-Z20</f>
        <v>-144</v>
      </c>
    </row>
    <row r="21" spans="1:32" x14ac:dyDescent="0.25">
      <c r="L21" s="25">
        <v>1</v>
      </c>
      <c r="M21" s="20">
        <v>-1</v>
      </c>
      <c r="N21" s="20">
        <v>3</v>
      </c>
      <c r="O21" s="20">
        <v>4</v>
      </c>
      <c r="P21" s="20">
        <f t="shared" si="7"/>
        <v>144</v>
      </c>
      <c r="Q21" s="20">
        <f t="shared" si="8"/>
        <v>-87</v>
      </c>
      <c r="R21" s="26">
        <f t="shared" si="9"/>
        <v>256</v>
      </c>
      <c r="S21" s="26">
        <f t="shared" si="10"/>
        <v>-199</v>
      </c>
      <c r="T21" s="26">
        <f t="shared" si="13"/>
        <v>-286</v>
      </c>
      <c r="U21" s="27">
        <f t="shared" si="14"/>
        <v>169</v>
      </c>
      <c r="V21" s="26">
        <f>Q21-Q22</f>
        <v>101</v>
      </c>
      <c r="W21" s="26">
        <f t="shared" ref="W21:W26" si="15">P21+(2*N21+1)*$T$2-(2*O21-1)*$T$1</f>
        <v>-87</v>
      </c>
      <c r="Z21">
        <f t="shared" si="11"/>
        <v>256</v>
      </c>
      <c r="AA21">
        <f t="shared" si="12"/>
        <v>-199</v>
      </c>
      <c r="AC21">
        <f>2*W21</f>
        <v>-174</v>
      </c>
      <c r="AD21">
        <f>-Z21</f>
        <v>-256</v>
      </c>
    </row>
    <row r="22" spans="1:32" ht="21" customHeight="1" x14ac:dyDescent="0.25">
      <c r="A22" s="31" t="s">
        <v>106</v>
      </c>
      <c r="L22" s="25">
        <v>1</v>
      </c>
      <c r="M22" s="20">
        <v>-1</v>
      </c>
      <c r="N22" s="20">
        <v>4</v>
      </c>
      <c r="O22" s="20">
        <v>3</v>
      </c>
      <c r="P22" s="20">
        <f t="shared" si="7"/>
        <v>-87</v>
      </c>
      <c r="Q22" s="20">
        <f t="shared" si="8"/>
        <v>-188</v>
      </c>
      <c r="R22" s="26">
        <f t="shared" si="9"/>
        <v>57</v>
      </c>
      <c r="S22" s="26">
        <f t="shared" si="10"/>
        <v>-332</v>
      </c>
      <c r="T22" s="26">
        <f t="shared" si="13"/>
        <v>-520</v>
      </c>
      <c r="U22" s="27">
        <f t="shared" si="14"/>
        <v>-131</v>
      </c>
      <c r="V22" s="26"/>
      <c r="W22" s="26">
        <f t="shared" si="15"/>
        <v>-188</v>
      </c>
      <c r="Z22">
        <f t="shared" si="11"/>
        <v>57</v>
      </c>
      <c r="AA22">
        <f t="shared" si="12"/>
        <v>-332</v>
      </c>
    </row>
    <row r="23" spans="1:32" x14ac:dyDescent="0.25">
      <c r="L23" s="25">
        <v>1</v>
      </c>
      <c r="M23" s="20">
        <v>-1</v>
      </c>
      <c r="N23" s="20">
        <v>5</v>
      </c>
      <c r="O23" s="20">
        <v>3</v>
      </c>
      <c r="P23" s="20">
        <f t="shared" si="7"/>
        <v>57</v>
      </c>
      <c r="Q23" s="20">
        <f t="shared" si="8"/>
        <v>-12</v>
      </c>
      <c r="R23" s="26">
        <f t="shared" si="9"/>
        <v>233</v>
      </c>
      <c r="S23" s="26">
        <f t="shared" si="10"/>
        <v>-188</v>
      </c>
      <c r="T23" s="26">
        <f t="shared" si="13"/>
        <v>-200</v>
      </c>
      <c r="U23" s="27">
        <f t="shared" si="14"/>
        <v>221</v>
      </c>
      <c r="V23" s="26"/>
      <c r="W23" s="26">
        <f t="shared" si="15"/>
        <v>-12</v>
      </c>
      <c r="Z23">
        <f t="shared" si="11"/>
        <v>233</v>
      </c>
      <c r="AA23">
        <f t="shared" si="12"/>
        <v>-188</v>
      </c>
    </row>
    <row r="24" spans="1:32" ht="22.9" customHeight="1" x14ac:dyDescent="0.25">
      <c r="A24" s="31" t="s">
        <v>107</v>
      </c>
      <c r="L24" s="25">
        <v>1</v>
      </c>
      <c r="M24" s="20">
        <v>-1</v>
      </c>
      <c r="N24" s="20">
        <v>6</v>
      </c>
      <c r="O24" s="20">
        <v>2</v>
      </c>
      <c r="P24" s="20">
        <f t="shared" si="7"/>
        <v>-12</v>
      </c>
      <c r="Q24" s="20">
        <f t="shared" si="8"/>
        <v>49</v>
      </c>
      <c r="R24" s="26">
        <f t="shared" si="9"/>
        <v>196</v>
      </c>
      <c r="S24" s="26">
        <f t="shared" si="10"/>
        <v>-159</v>
      </c>
      <c r="T24" s="26">
        <f t="shared" si="13"/>
        <v>-110</v>
      </c>
      <c r="U24" s="27">
        <f t="shared" si="14"/>
        <v>245</v>
      </c>
      <c r="V24" s="26"/>
      <c r="W24" s="26">
        <f t="shared" si="15"/>
        <v>49</v>
      </c>
      <c r="Z24">
        <f t="shared" si="11"/>
        <v>196</v>
      </c>
      <c r="AA24">
        <f t="shared" si="12"/>
        <v>-159</v>
      </c>
    </row>
    <row r="25" spans="1:32" x14ac:dyDescent="0.25">
      <c r="L25" s="25">
        <v>1</v>
      </c>
      <c r="M25" s="20">
        <v>-1</v>
      </c>
      <c r="N25" s="20">
        <v>7</v>
      </c>
      <c r="O25" s="20">
        <v>1</v>
      </c>
      <c r="P25" s="20">
        <f t="shared" si="7"/>
        <v>49</v>
      </c>
      <c r="Q25" s="20">
        <f t="shared" si="8"/>
        <v>240</v>
      </c>
      <c r="R25" s="26">
        <f t="shared" si="9"/>
        <v>289</v>
      </c>
      <c r="S25" s="26">
        <f t="shared" si="10"/>
        <v>0</v>
      </c>
      <c r="T25" s="26">
        <f t="shared" si="13"/>
        <v>240</v>
      </c>
      <c r="U25" s="27">
        <f t="shared" si="14"/>
        <v>529</v>
      </c>
      <c r="V25" s="26"/>
      <c r="W25" s="26">
        <f t="shared" si="15"/>
        <v>240</v>
      </c>
      <c r="Z25">
        <f t="shared" si="11"/>
        <v>289</v>
      </c>
      <c r="AA25">
        <f t="shared" si="12"/>
        <v>0</v>
      </c>
    </row>
    <row r="26" spans="1:32" x14ac:dyDescent="0.25">
      <c r="L26" s="25">
        <v>1</v>
      </c>
      <c r="M26" s="20">
        <v>-1</v>
      </c>
      <c r="N26" s="20">
        <v>7</v>
      </c>
      <c r="O26" s="20">
        <v>0</v>
      </c>
      <c r="P26" s="20">
        <f t="shared" si="7"/>
        <v>0</v>
      </c>
      <c r="Q26" s="20">
        <f t="shared" si="8"/>
        <v>289</v>
      </c>
      <c r="R26" s="26">
        <f t="shared" si="9"/>
        <v>240</v>
      </c>
      <c r="S26" s="26">
        <f t="shared" si="10"/>
        <v>49</v>
      </c>
      <c r="T26" s="26">
        <f t="shared" si="13"/>
        <v>338</v>
      </c>
      <c r="U26" s="27">
        <f t="shared" si="14"/>
        <v>529</v>
      </c>
      <c r="V26" s="26"/>
      <c r="W26" s="26">
        <f t="shared" si="15"/>
        <v>289</v>
      </c>
      <c r="Z26">
        <f t="shared" si="11"/>
        <v>240</v>
      </c>
      <c r="AA26">
        <f t="shared" si="12"/>
        <v>49</v>
      </c>
    </row>
    <row r="27" spans="1:32" x14ac:dyDescent="0.25">
      <c r="F27" t="s">
        <v>108</v>
      </c>
      <c r="L27" s="29"/>
      <c r="M27" s="26"/>
      <c r="N27" s="26"/>
      <c r="O27" s="26"/>
      <c r="P27" s="26"/>
      <c r="Q27" s="26"/>
      <c r="R27" s="26"/>
      <c r="S27" s="26"/>
      <c r="T27" s="26"/>
      <c r="U27" s="27"/>
      <c r="V27" s="26"/>
      <c r="W27" s="26"/>
    </row>
    <row r="28" spans="1:32" x14ac:dyDescent="0.25">
      <c r="L28" s="29"/>
      <c r="M28" s="26"/>
      <c r="N28" s="26"/>
      <c r="O28" s="26"/>
      <c r="P28" s="26"/>
      <c r="Q28" s="26"/>
      <c r="R28" s="26"/>
      <c r="S28" s="26"/>
      <c r="T28" s="26"/>
      <c r="U28" s="27"/>
      <c r="V28" s="26"/>
      <c r="W28" s="26"/>
    </row>
    <row r="29" spans="1:32" x14ac:dyDescent="0.25">
      <c r="F29" t="s">
        <v>109</v>
      </c>
      <c r="I29" t="s">
        <v>110</v>
      </c>
      <c r="L29" s="29" t="s">
        <v>111</v>
      </c>
      <c r="M29" s="26"/>
      <c r="N29" s="26"/>
      <c r="O29" s="26"/>
      <c r="P29" s="26"/>
      <c r="Q29" s="26"/>
      <c r="R29" s="26"/>
      <c r="S29" s="26"/>
      <c r="T29" s="26"/>
      <c r="U29" s="27"/>
      <c r="V29" s="26"/>
      <c r="W29" s="26"/>
      <c r="AA29" t="s">
        <v>112</v>
      </c>
    </row>
    <row r="30" spans="1:32" x14ac:dyDescent="0.25">
      <c r="F30" t="s">
        <v>113</v>
      </c>
      <c r="L30" s="25" t="s">
        <v>82</v>
      </c>
      <c r="M30" s="20" t="s">
        <v>83</v>
      </c>
      <c r="N30" s="20" t="s">
        <v>77</v>
      </c>
      <c r="O30" s="20" t="s">
        <v>84</v>
      </c>
      <c r="P30" s="20" t="s">
        <v>85</v>
      </c>
      <c r="Q30" s="20" t="s">
        <v>86</v>
      </c>
      <c r="R30" s="20" t="s">
        <v>114</v>
      </c>
      <c r="S30" s="20" t="s">
        <v>88</v>
      </c>
      <c r="T30" s="20" t="s">
        <v>115</v>
      </c>
      <c r="U30" s="30" t="s">
        <v>116</v>
      </c>
      <c r="V30" s="20"/>
      <c r="W30" s="20"/>
      <c r="Z30" t="s">
        <v>117</v>
      </c>
      <c r="AA30" t="s">
        <v>118</v>
      </c>
    </row>
    <row r="31" spans="1:32" x14ac:dyDescent="0.25">
      <c r="L31" s="25">
        <v>-1</v>
      </c>
      <c r="M31" s="20">
        <v>-1</v>
      </c>
      <c r="N31" s="20">
        <v>7</v>
      </c>
      <c r="O31" s="20">
        <v>0</v>
      </c>
      <c r="P31" s="20">
        <f t="shared" ref="P31:P39" si="16">(N31)*(N31)*$T$2+(O31)*(O31)*$T$1-$U$1</f>
        <v>0</v>
      </c>
      <c r="Q31" s="20">
        <f t="shared" ref="Q31:Q39" si="17">(N31+L31)*(N31+L31)*$T$2+(O31+M31)*(O31+M31)*$T$1-$U$1</f>
        <v>-159</v>
      </c>
      <c r="R31" s="26">
        <f t="shared" ref="R31:R39" si="18">(N31+L31)*(N31+L31)*$T$2+O31*O31*$T$1-$U$1</f>
        <v>-208</v>
      </c>
      <c r="S31" s="26">
        <f t="shared" ref="S31:S39" si="19">N31*N31*$T$2+(O31+M31)*(O31+M31)*$T$1-$U$1</f>
        <v>49</v>
      </c>
      <c r="T31" s="26">
        <f>Q31+S31</f>
        <v>-110</v>
      </c>
      <c r="U31" s="27">
        <f>Q31+R31</f>
        <v>-367</v>
      </c>
      <c r="V31" s="26"/>
      <c r="W31" s="26">
        <f t="shared" ref="W31:W39" si="20">P31-(2*N31-1)*$T$2-(2*O31-1)*$T$1</f>
        <v>-159</v>
      </c>
      <c r="AA31" s="28" t="s">
        <v>119</v>
      </c>
      <c r="AD31" t="s">
        <v>120</v>
      </c>
    </row>
    <row r="32" spans="1:32" x14ac:dyDescent="0.25">
      <c r="J32" t="s">
        <v>121</v>
      </c>
      <c r="K32" t="s">
        <v>121</v>
      </c>
      <c r="L32" s="25">
        <v>-1</v>
      </c>
      <c r="M32" s="20">
        <v>-1</v>
      </c>
      <c r="N32" s="20">
        <v>7</v>
      </c>
      <c r="O32" s="20">
        <v>-1</v>
      </c>
      <c r="P32" s="20">
        <f t="shared" si="16"/>
        <v>49</v>
      </c>
      <c r="Q32" s="20">
        <f t="shared" si="17"/>
        <v>-12</v>
      </c>
      <c r="R32" s="26">
        <f t="shared" si="18"/>
        <v>-159</v>
      </c>
      <c r="S32" s="26">
        <f t="shared" si="19"/>
        <v>196</v>
      </c>
      <c r="T32" s="26">
        <f>Q32+S32</f>
        <v>184</v>
      </c>
      <c r="U32" s="27">
        <f>Q32+R32</f>
        <v>-171</v>
      </c>
      <c r="V32" s="26"/>
      <c r="W32" s="26">
        <f t="shared" si="20"/>
        <v>-12</v>
      </c>
      <c r="AA32" t="s">
        <v>122</v>
      </c>
    </row>
    <row r="33" spans="6:27" x14ac:dyDescent="0.25">
      <c r="F33" t="s">
        <v>123</v>
      </c>
      <c r="J33" t="s">
        <v>94</v>
      </c>
      <c r="K33" t="s">
        <v>81</v>
      </c>
      <c r="L33" s="25">
        <v>-1</v>
      </c>
      <c r="M33" s="20">
        <v>-1</v>
      </c>
      <c r="N33" s="20">
        <v>6</v>
      </c>
      <c r="O33" s="20">
        <v>-2</v>
      </c>
      <c r="P33" s="20">
        <f t="shared" si="16"/>
        <v>-12</v>
      </c>
      <c r="Q33" s="20">
        <f t="shared" si="17"/>
        <v>57</v>
      </c>
      <c r="R33" s="26">
        <f t="shared" si="18"/>
        <v>-188</v>
      </c>
      <c r="S33" s="26">
        <f t="shared" si="19"/>
        <v>233</v>
      </c>
      <c r="T33" s="26">
        <f t="shared" ref="T33:T39" si="21">Q33+S33</f>
        <v>290</v>
      </c>
      <c r="U33" s="27">
        <f t="shared" ref="U33:U39" si="22">Q33+R33</f>
        <v>-131</v>
      </c>
      <c r="V33" s="26"/>
      <c r="W33" s="26">
        <f t="shared" si="20"/>
        <v>57</v>
      </c>
      <c r="AA33" s="28" t="s">
        <v>124</v>
      </c>
    </row>
    <row r="34" spans="6:27" x14ac:dyDescent="0.25">
      <c r="I34" t="s">
        <v>125</v>
      </c>
      <c r="K34" s="32" t="s">
        <v>126</v>
      </c>
      <c r="L34" s="25">
        <v>-1</v>
      </c>
      <c r="M34" s="20">
        <v>-1</v>
      </c>
      <c r="N34" s="20">
        <v>5</v>
      </c>
      <c r="O34" s="20">
        <v>-3</v>
      </c>
      <c r="P34" s="20">
        <f t="shared" si="16"/>
        <v>57</v>
      </c>
      <c r="Q34" s="20">
        <f t="shared" si="17"/>
        <v>256</v>
      </c>
      <c r="R34" s="26">
        <f t="shared" si="18"/>
        <v>-87</v>
      </c>
      <c r="S34" s="26">
        <f t="shared" si="19"/>
        <v>400</v>
      </c>
      <c r="T34" s="26">
        <f t="shared" si="21"/>
        <v>656</v>
      </c>
      <c r="U34" s="27">
        <f t="shared" si="22"/>
        <v>169</v>
      </c>
      <c r="V34" s="26"/>
      <c r="W34" s="26">
        <f t="shared" si="20"/>
        <v>256</v>
      </c>
    </row>
    <row r="35" spans="6:27" x14ac:dyDescent="0.25">
      <c r="I35" s="32" t="s">
        <v>127</v>
      </c>
      <c r="K35" t="s">
        <v>128</v>
      </c>
      <c r="L35" s="25">
        <v>-1</v>
      </c>
      <c r="M35" s="20">
        <v>-1</v>
      </c>
      <c r="N35" s="20">
        <v>4</v>
      </c>
      <c r="O35" s="20">
        <v>-3</v>
      </c>
      <c r="P35" s="20">
        <f t="shared" si="16"/>
        <v>-87</v>
      </c>
      <c r="Q35" s="20">
        <f t="shared" si="17"/>
        <v>144</v>
      </c>
      <c r="R35" s="26">
        <f t="shared" si="18"/>
        <v>-199</v>
      </c>
      <c r="S35" s="26">
        <f t="shared" si="19"/>
        <v>256</v>
      </c>
      <c r="T35" s="26">
        <f t="shared" si="21"/>
        <v>400</v>
      </c>
      <c r="U35" s="27">
        <f t="shared" si="22"/>
        <v>-55</v>
      </c>
      <c r="V35" s="26"/>
      <c r="W35" s="26">
        <f t="shared" si="20"/>
        <v>144</v>
      </c>
    </row>
    <row r="36" spans="6:27" x14ac:dyDescent="0.25">
      <c r="I36" t="s">
        <v>129</v>
      </c>
      <c r="L36" s="25">
        <v>-1</v>
      </c>
      <c r="M36" s="20">
        <v>-1</v>
      </c>
      <c r="N36" s="20">
        <v>3</v>
      </c>
      <c r="O36" s="20">
        <v>-4</v>
      </c>
      <c r="P36" s="20">
        <f t="shared" si="16"/>
        <v>144</v>
      </c>
      <c r="Q36" s="20">
        <f t="shared" si="17"/>
        <v>505</v>
      </c>
      <c r="R36" s="26">
        <f t="shared" si="18"/>
        <v>64</v>
      </c>
      <c r="S36" s="26">
        <f t="shared" si="19"/>
        <v>585</v>
      </c>
      <c r="T36" s="26">
        <f t="shared" si="21"/>
        <v>1090</v>
      </c>
      <c r="U36" s="27">
        <f t="shared" si="22"/>
        <v>569</v>
      </c>
      <c r="V36" s="26"/>
      <c r="W36" s="26">
        <f t="shared" si="20"/>
        <v>505</v>
      </c>
    </row>
    <row r="37" spans="6:27" x14ac:dyDescent="0.25">
      <c r="I37" s="32" t="s">
        <v>130</v>
      </c>
      <c r="L37" s="25">
        <v>-1</v>
      </c>
      <c r="M37" s="20">
        <v>-1</v>
      </c>
      <c r="N37" s="20">
        <v>2</v>
      </c>
      <c r="O37" s="20">
        <v>-4</v>
      </c>
      <c r="P37" s="20">
        <f t="shared" si="16"/>
        <v>64</v>
      </c>
      <c r="Q37" s="20">
        <f t="shared" si="17"/>
        <v>457</v>
      </c>
      <c r="R37" s="26">
        <f t="shared" si="18"/>
        <v>16</v>
      </c>
      <c r="S37" s="26">
        <f t="shared" si="19"/>
        <v>505</v>
      </c>
      <c r="T37" s="26">
        <f t="shared" si="21"/>
        <v>962</v>
      </c>
      <c r="U37" s="27">
        <f t="shared" si="22"/>
        <v>473</v>
      </c>
      <c r="V37" s="26"/>
      <c r="W37" s="26">
        <f t="shared" si="20"/>
        <v>457</v>
      </c>
    </row>
    <row r="38" spans="6:27" x14ac:dyDescent="0.25">
      <c r="L38" s="25">
        <v>-1</v>
      </c>
      <c r="M38" s="20">
        <v>-1</v>
      </c>
      <c r="N38" s="20">
        <v>1</v>
      </c>
      <c r="O38" s="20">
        <v>-4</v>
      </c>
      <c r="P38" s="20">
        <f t="shared" si="16"/>
        <v>16</v>
      </c>
      <c r="Q38" s="20">
        <f t="shared" si="17"/>
        <v>441</v>
      </c>
      <c r="R38" s="26">
        <f t="shared" si="18"/>
        <v>0</v>
      </c>
      <c r="S38" s="26">
        <f t="shared" si="19"/>
        <v>457</v>
      </c>
      <c r="T38" s="26">
        <f t="shared" si="21"/>
        <v>898</v>
      </c>
      <c r="U38" s="27">
        <f t="shared" si="22"/>
        <v>441</v>
      </c>
      <c r="V38" s="26"/>
      <c r="W38" s="26">
        <f t="shared" si="20"/>
        <v>441</v>
      </c>
    </row>
    <row r="39" spans="6:27" x14ac:dyDescent="0.25">
      <c r="G39" t="s">
        <v>131</v>
      </c>
      <c r="J39" t="s">
        <v>132</v>
      </c>
      <c r="L39" s="25">
        <v>-1</v>
      </c>
      <c r="M39" s="20">
        <v>-1</v>
      </c>
      <c r="N39" s="20">
        <v>0</v>
      </c>
      <c r="O39" s="20">
        <v>-4</v>
      </c>
      <c r="P39" s="20">
        <f t="shared" si="16"/>
        <v>0</v>
      </c>
      <c r="Q39" s="20">
        <f t="shared" si="17"/>
        <v>457</v>
      </c>
      <c r="R39" s="26">
        <f t="shared" si="18"/>
        <v>16</v>
      </c>
      <c r="S39" s="26">
        <f t="shared" si="19"/>
        <v>441</v>
      </c>
      <c r="T39" s="26">
        <f t="shared" si="21"/>
        <v>898</v>
      </c>
      <c r="U39" s="27">
        <f t="shared" si="22"/>
        <v>473</v>
      </c>
      <c r="V39" s="26"/>
      <c r="W39" s="26">
        <f t="shared" si="20"/>
        <v>457</v>
      </c>
    </row>
    <row r="40" spans="6:27" x14ac:dyDescent="0.25">
      <c r="G40" t="s">
        <v>133</v>
      </c>
      <c r="L40" s="29" t="s">
        <v>134</v>
      </c>
      <c r="M40" s="26"/>
      <c r="N40" s="26"/>
      <c r="O40" s="26"/>
      <c r="P40" s="26"/>
      <c r="Q40" s="26"/>
      <c r="R40" s="26"/>
      <c r="S40" s="26"/>
      <c r="T40" s="26"/>
      <c r="U40" s="27"/>
      <c r="V40" s="26"/>
      <c r="W40" s="26"/>
      <c r="Z40" t="s">
        <v>134</v>
      </c>
      <c r="AA40" t="s">
        <v>112</v>
      </c>
    </row>
    <row r="41" spans="6:27" x14ac:dyDescent="0.25">
      <c r="G41" t="s">
        <v>135</v>
      </c>
      <c r="L41" s="25" t="s">
        <v>82</v>
      </c>
      <c r="M41" s="20" t="s">
        <v>83</v>
      </c>
      <c r="N41" s="20" t="s">
        <v>77</v>
      </c>
      <c r="O41" s="20" t="s">
        <v>84</v>
      </c>
      <c r="P41" s="20" t="s">
        <v>85</v>
      </c>
      <c r="Q41" s="20" t="s">
        <v>86</v>
      </c>
      <c r="R41" s="20" t="s">
        <v>114</v>
      </c>
      <c r="S41" s="20" t="s">
        <v>88</v>
      </c>
      <c r="T41" s="20" t="s">
        <v>136</v>
      </c>
      <c r="U41" s="30" t="s">
        <v>137</v>
      </c>
      <c r="V41" s="20"/>
      <c r="W41" s="20"/>
      <c r="AA41" t="s">
        <v>138</v>
      </c>
    </row>
    <row r="42" spans="6:27" x14ac:dyDescent="0.25">
      <c r="L42" s="25">
        <v>-1</v>
      </c>
      <c r="M42" s="20">
        <v>1</v>
      </c>
      <c r="N42" s="20">
        <v>0</v>
      </c>
      <c r="O42" s="20">
        <v>-4</v>
      </c>
      <c r="P42" s="20">
        <f t="shared" ref="P42:P50" si="23">(N42)*(N42)*$T$2+(O42)*(O42)*$T$1-$U$1</f>
        <v>0</v>
      </c>
      <c r="Q42" s="20">
        <f t="shared" ref="Q42:Q50" si="24">(N42+L42)*(N42+L42)*$T$2+(O42+M42)*(O42+M42)*$T$1-$U$1</f>
        <v>-327</v>
      </c>
      <c r="R42" s="26">
        <f t="shared" ref="R42:R50" si="25">(N42+L42)*(N42+L42)*$T$2+O42*O42*$T$1-$U$1</f>
        <v>16</v>
      </c>
      <c r="S42" s="26">
        <f t="shared" ref="S42:S50" si="26">N42*N42*$T$2+(O42+M42)*(O42+M42)*$T$1-$U$1</f>
        <v>-343</v>
      </c>
      <c r="T42" s="26">
        <f>Q42+S42</f>
        <v>-670</v>
      </c>
      <c r="U42" s="27">
        <f>Q42+R42</f>
        <v>-311</v>
      </c>
      <c r="V42" s="26"/>
      <c r="W42" s="26">
        <f>P42-(2*N42-1)*$T$2+(2*O42+1)*$T$1</f>
        <v>-327</v>
      </c>
      <c r="AA42" t="s">
        <v>139</v>
      </c>
    </row>
    <row r="43" spans="6:27" x14ac:dyDescent="0.25">
      <c r="L43" s="25">
        <v>-1</v>
      </c>
      <c r="M43" s="20">
        <v>1</v>
      </c>
      <c r="N43" s="20">
        <v>-1</v>
      </c>
      <c r="O43" s="20">
        <v>-4</v>
      </c>
      <c r="P43" s="20">
        <f t="shared" si="23"/>
        <v>16</v>
      </c>
      <c r="Q43" s="20">
        <f t="shared" si="24"/>
        <v>-279</v>
      </c>
      <c r="R43" s="26">
        <f t="shared" si="25"/>
        <v>64</v>
      </c>
      <c r="S43" s="26">
        <f t="shared" si="26"/>
        <v>-327</v>
      </c>
      <c r="T43" s="26">
        <f>Q43+S43</f>
        <v>-606</v>
      </c>
      <c r="U43" s="27">
        <f>Q43+R43</f>
        <v>-215</v>
      </c>
      <c r="V43" s="26"/>
      <c r="W43" s="26">
        <f t="shared" ref="W43:W50" si="27">P43-(2*N43-1)*$T$2+(2*O43+1)*$T$1</f>
        <v>-279</v>
      </c>
      <c r="AA43" t="s">
        <v>140</v>
      </c>
    </row>
    <row r="44" spans="6:27" x14ac:dyDescent="0.25">
      <c r="L44" s="25">
        <v>-1</v>
      </c>
      <c r="M44" s="20">
        <v>1</v>
      </c>
      <c r="N44" s="20">
        <v>-2</v>
      </c>
      <c r="O44" s="20">
        <v>-4</v>
      </c>
      <c r="P44" s="20">
        <f t="shared" si="23"/>
        <v>64</v>
      </c>
      <c r="Q44" s="20">
        <f t="shared" si="24"/>
        <v>-199</v>
      </c>
      <c r="R44" s="26">
        <f t="shared" si="25"/>
        <v>144</v>
      </c>
      <c r="S44" s="26">
        <f t="shared" si="26"/>
        <v>-279</v>
      </c>
      <c r="T44" s="26">
        <f t="shared" ref="T44:T50" si="28">Q44+S44</f>
        <v>-478</v>
      </c>
      <c r="U44" s="27">
        <f t="shared" ref="U44:U50" si="29">Q44+R44</f>
        <v>-55</v>
      </c>
      <c r="V44" s="26"/>
      <c r="W44" s="26">
        <f t="shared" si="27"/>
        <v>-199</v>
      </c>
      <c r="AA44" s="28" t="s">
        <v>141</v>
      </c>
    </row>
    <row r="45" spans="6:27" x14ac:dyDescent="0.25">
      <c r="L45" s="25">
        <v>-1</v>
      </c>
      <c r="M45" s="20">
        <v>1</v>
      </c>
      <c r="N45" s="20">
        <v>-3</v>
      </c>
      <c r="O45" s="20">
        <v>-4</v>
      </c>
      <c r="P45" s="20">
        <f t="shared" si="23"/>
        <v>144</v>
      </c>
      <c r="Q45" s="20">
        <f t="shared" si="24"/>
        <v>-87</v>
      </c>
      <c r="R45" s="26">
        <f t="shared" si="25"/>
        <v>256</v>
      </c>
      <c r="S45" s="26">
        <f t="shared" si="26"/>
        <v>-199</v>
      </c>
      <c r="T45" s="26">
        <f t="shared" si="28"/>
        <v>-286</v>
      </c>
      <c r="U45" s="27">
        <f t="shared" si="29"/>
        <v>169</v>
      </c>
      <c r="V45" s="26"/>
      <c r="W45" s="26">
        <f t="shared" si="27"/>
        <v>-87</v>
      </c>
    </row>
    <row r="46" spans="6:27" x14ac:dyDescent="0.25">
      <c r="L46" s="25">
        <v>-1</v>
      </c>
      <c r="M46" s="20">
        <v>1</v>
      </c>
      <c r="N46" s="20">
        <v>-4</v>
      </c>
      <c r="O46" s="20">
        <v>-3</v>
      </c>
      <c r="P46" s="20">
        <f t="shared" si="23"/>
        <v>-87</v>
      </c>
      <c r="Q46" s="20">
        <f t="shared" si="24"/>
        <v>-188</v>
      </c>
      <c r="R46" s="26">
        <f t="shared" si="25"/>
        <v>57</v>
      </c>
      <c r="S46" s="26">
        <f t="shared" si="26"/>
        <v>-332</v>
      </c>
      <c r="T46" s="26">
        <f t="shared" si="28"/>
        <v>-520</v>
      </c>
      <c r="U46" s="27">
        <f t="shared" si="29"/>
        <v>-131</v>
      </c>
      <c r="V46" s="26"/>
      <c r="W46" s="26">
        <f t="shared" si="27"/>
        <v>-188</v>
      </c>
    </row>
    <row r="47" spans="6:27" x14ac:dyDescent="0.25">
      <c r="L47" s="25">
        <v>-1</v>
      </c>
      <c r="M47" s="20">
        <v>1</v>
      </c>
      <c r="N47" s="20">
        <v>-5</v>
      </c>
      <c r="O47" s="20">
        <v>-3</v>
      </c>
      <c r="P47" s="20">
        <f t="shared" si="23"/>
        <v>57</v>
      </c>
      <c r="Q47" s="20">
        <f t="shared" si="24"/>
        <v>-12</v>
      </c>
      <c r="R47" s="26">
        <f t="shared" si="25"/>
        <v>233</v>
      </c>
      <c r="S47" s="26">
        <f t="shared" si="26"/>
        <v>-188</v>
      </c>
      <c r="T47" s="26">
        <f t="shared" si="28"/>
        <v>-200</v>
      </c>
      <c r="U47" s="27">
        <f t="shared" si="29"/>
        <v>221</v>
      </c>
      <c r="V47" s="26"/>
      <c r="W47" s="26">
        <f t="shared" si="27"/>
        <v>-12</v>
      </c>
    </row>
    <row r="48" spans="6:27" x14ac:dyDescent="0.25">
      <c r="L48" s="25">
        <v>-1</v>
      </c>
      <c r="M48" s="20">
        <v>1</v>
      </c>
      <c r="N48" s="20">
        <v>-6</v>
      </c>
      <c r="O48" s="20">
        <v>-2</v>
      </c>
      <c r="P48" s="20">
        <f t="shared" si="23"/>
        <v>-12</v>
      </c>
      <c r="Q48" s="20">
        <f t="shared" si="24"/>
        <v>49</v>
      </c>
      <c r="R48" s="26">
        <f t="shared" si="25"/>
        <v>196</v>
      </c>
      <c r="S48" s="26">
        <f t="shared" si="26"/>
        <v>-159</v>
      </c>
      <c r="T48" s="26">
        <f t="shared" si="28"/>
        <v>-110</v>
      </c>
      <c r="U48" s="27">
        <f t="shared" si="29"/>
        <v>245</v>
      </c>
      <c r="V48" s="26"/>
      <c r="W48" s="26">
        <f t="shared" si="27"/>
        <v>49</v>
      </c>
    </row>
    <row r="49" spans="12:23" x14ac:dyDescent="0.25">
      <c r="L49" s="25">
        <v>-1</v>
      </c>
      <c r="M49" s="20">
        <v>1</v>
      </c>
      <c r="N49" s="20">
        <v>-7</v>
      </c>
      <c r="O49" s="20">
        <v>-1</v>
      </c>
      <c r="P49" s="20">
        <f t="shared" si="23"/>
        <v>49</v>
      </c>
      <c r="Q49" s="20">
        <f t="shared" si="24"/>
        <v>240</v>
      </c>
      <c r="R49" s="26">
        <f t="shared" si="25"/>
        <v>289</v>
      </c>
      <c r="S49" s="26">
        <f t="shared" si="26"/>
        <v>0</v>
      </c>
      <c r="T49" s="26">
        <f t="shared" si="28"/>
        <v>240</v>
      </c>
      <c r="U49" s="27">
        <f t="shared" si="29"/>
        <v>529</v>
      </c>
      <c r="V49" s="26"/>
      <c r="W49" s="26">
        <f t="shared" si="27"/>
        <v>240</v>
      </c>
    </row>
    <row r="50" spans="12:23" ht="15.75" thickBot="1" x14ac:dyDescent="0.3">
      <c r="L50" s="33">
        <v>-1</v>
      </c>
      <c r="M50" s="34">
        <v>1</v>
      </c>
      <c r="N50" s="34">
        <v>-7</v>
      </c>
      <c r="O50" s="34">
        <v>0</v>
      </c>
      <c r="P50" s="34">
        <f t="shared" si="23"/>
        <v>0</v>
      </c>
      <c r="Q50" s="34">
        <f t="shared" si="24"/>
        <v>289</v>
      </c>
      <c r="R50" s="35">
        <f t="shared" si="25"/>
        <v>240</v>
      </c>
      <c r="S50" s="35">
        <f t="shared" si="26"/>
        <v>49</v>
      </c>
      <c r="T50" s="35">
        <f t="shared" si="28"/>
        <v>338</v>
      </c>
      <c r="U50" s="36">
        <f t="shared" si="29"/>
        <v>529</v>
      </c>
      <c r="V50" s="26"/>
      <c r="W50" s="26">
        <f t="shared" si="27"/>
        <v>289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Лист1</vt:lpstr>
      <vt:lpstr>Лист3</vt:lpstr>
      <vt:lpstr>arc</vt:lpstr>
      <vt:lpstr>ellipse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 Taranov</dc:creator>
  <cp:lastModifiedBy>Сергей Таранов</cp:lastModifiedBy>
  <dcterms:created xsi:type="dcterms:W3CDTF">2018-12-04T08:21:19Z</dcterms:created>
  <dcterms:modified xsi:type="dcterms:W3CDTF">2025-03-04T16:48:58Z</dcterms:modified>
</cp:coreProperties>
</file>