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EV\projects\efeed\"/>
    </mc:Choice>
  </mc:AlternateContent>
  <bookViews>
    <workbookView xWindow="0" yWindow="0" windowWidth="18255" windowHeight="7890"/>
  </bookViews>
  <sheets>
    <sheet name="Лист1" sheetId="1" r:id="rId1"/>
    <sheet name="Лист3" sheetId="3" r:id="rId2"/>
    <sheet name="arc" sheetId="5" r:id="rId3"/>
    <sheet name="ellipse" sheetId="7" r:id="rId4"/>
    <sheet name="Лист2" sheetId="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1" l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45" i="1"/>
  <c r="B9" i="1"/>
  <c r="B10" i="1"/>
  <c r="N2" i="1"/>
  <c r="K11" i="7" l="1"/>
  <c r="K13" i="7"/>
  <c r="K14" i="7" s="1"/>
  <c r="K12" i="7"/>
  <c r="K15" i="7" s="1"/>
  <c r="N6" i="7" l="1"/>
  <c r="B6" i="7"/>
  <c r="B5" i="7"/>
  <c r="F3" i="7" s="1"/>
  <c r="H4" i="7"/>
  <c r="B4" i="7"/>
  <c r="B3" i="7"/>
  <c r="G4" i="7" s="1"/>
  <c r="I4" i="7" s="1"/>
  <c r="T2" i="7"/>
  <c r="K2" i="7"/>
  <c r="N2" i="7" s="1"/>
  <c r="T1" i="7"/>
  <c r="U1" i="7" s="1"/>
  <c r="P24" i="7" l="1"/>
  <c r="W24" i="7" s="1"/>
  <c r="Z24" i="7" s="1"/>
  <c r="S47" i="7"/>
  <c r="R42" i="7"/>
  <c r="S12" i="7"/>
  <c r="P20" i="7"/>
  <c r="W20" i="7" s="1"/>
  <c r="Z20" i="7" s="1"/>
  <c r="AD20" i="7" s="1"/>
  <c r="S19" i="7"/>
  <c r="Q6" i="7"/>
  <c r="R22" i="7"/>
  <c r="S7" i="7"/>
  <c r="Q23" i="7"/>
  <c r="Q49" i="7"/>
  <c r="Q50" i="7"/>
  <c r="R6" i="7"/>
  <c r="Q10" i="7"/>
  <c r="P34" i="7"/>
  <c r="W34" i="7" s="1"/>
  <c r="P9" i="7"/>
  <c r="W9" i="7" s="1"/>
  <c r="F4" i="7"/>
  <c r="E4" i="7" s="1"/>
  <c r="R11" i="7"/>
  <c r="P38" i="7"/>
  <c r="W38" i="7" s="1"/>
  <c r="AA24" i="7"/>
  <c r="P6" i="7"/>
  <c r="W6" i="7" s="1"/>
  <c r="P8" i="7"/>
  <c r="W8" i="7" s="1"/>
  <c r="Q9" i="7"/>
  <c r="R10" i="7"/>
  <c r="S11" i="7"/>
  <c r="Q20" i="7"/>
  <c r="AC20" i="7"/>
  <c r="S22" i="7"/>
  <c r="R23" i="7"/>
  <c r="U23" i="7" s="1"/>
  <c r="Q24" i="7"/>
  <c r="P25" i="7"/>
  <c r="W25" i="7" s="1"/>
  <c r="P33" i="7"/>
  <c r="W33" i="7" s="1"/>
  <c r="Q34" i="7"/>
  <c r="R36" i="7"/>
  <c r="Q45" i="7"/>
  <c r="R49" i="7"/>
  <c r="U49" i="7" s="1"/>
  <c r="S46" i="7"/>
  <c r="Q44" i="7"/>
  <c r="S42" i="7"/>
  <c r="R39" i="7"/>
  <c r="P37" i="7"/>
  <c r="W37" i="7" s="1"/>
  <c r="S50" i="7"/>
  <c r="T50" i="7" s="1"/>
  <c r="Q48" i="7"/>
  <c r="P47" i="7"/>
  <c r="W47" i="7" s="1"/>
  <c r="R45" i="7"/>
  <c r="P43" i="7"/>
  <c r="W43" i="7" s="1"/>
  <c r="Q38" i="7"/>
  <c r="S36" i="7"/>
  <c r="R35" i="7"/>
  <c r="R7" i="7"/>
  <c r="S8" i="7"/>
  <c r="U10" i="7"/>
  <c r="P13" i="7"/>
  <c r="W13" i="7" s="1"/>
  <c r="Q14" i="7"/>
  <c r="R18" i="7"/>
  <c r="Q21" i="7"/>
  <c r="S25" i="7"/>
  <c r="R26" i="7"/>
  <c r="Q31" i="7"/>
  <c r="R32" i="7"/>
  <c r="S33" i="7"/>
  <c r="Q39" i="7"/>
  <c r="S43" i="7"/>
  <c r="P48" i="7"/>
  <c r="W48" i="7" s="1"/>
  <c r="R50" i="7"/>
  <c r="U50" i="7" s="1"/>
  <c r="P12" i="7"/>
  <c r="W12" i="7" s="1"/>
  <c r="Q13" i="7"/>
  <c r="R14" i="7"/>
  <c r="S18" i="7"/>
  <c r="P19" i="7"/>
  <c r="W19" i="7" s="1"/>
  <c r="R21" i="7"/>
  <c r="S26" i="7"/>
  <c r="R31" i="7"/>
  <c r="S32" i="7"/>
  <c r="Q35" i="7"/>
  <c r="S37" i="7"/>
  <c r="P44" i="7"/>
  <c r="W44" i="7" s="1"/>
  <c r="R46" i="7"/>
  <c r="S6" i="7"/>
  <c r="P7" i="7"/>
  <c r="W7" i="7" s="1"/>
  <c r="Q8" i="7"/>
  <c r="R9" i="7"/>
  <c r="S10" i="7"/>
  <c r="T10" i="7" s="1"/>
  <c r="P11" i="7"/>
  <c r="W11" i="7" s="1"/>
  <c r="Q12" i="7"/>
  <c r="R13" i="7"/>
  <c r="S14" i="7"/>
  <c r="P18" i="7"/>
  <c r="W18" i="7" s="1"/>
  <c r="Q19" i="7"/>
  <c r="V19" i="7" s="1"/>
  <c r="R20" i="7"/>
  <c r="S21" i="7"/>
  <c r="P22" i="7"/>
  <c r="W22" i="7" s="1"/>
  <c r="S23" i="7"/>
  <c r="T23" i="7" s="1"/>
  <c r="R24" i="7"/>
  <c r="Q25" i="7"/>
  <c r="P26" i="7"/>
  <c r="W26" i="7" s="1"/>
  <c r="S31" i="7"/>
  <c r="P32" i="7"/>
  <c r="W32" i="7" s="1"/>
  <c r="Q33" i="7"/>
  <c r="R34" i="7"/>
  <c r="S35" i="7"/>
  <c r="P36" i="7"/>
  <c r="W36" i="7" s="1"/>
  <c r="Q37" i="7"/>
  <c r="R38" i="7"/>
  <c r="S39" i="7"/>
  <c r="P42" i="7"/>
  <c r="W42" i="7" s="1"/>
  <c r="Q43" i="7"/>
  <c r="R44" i="7"/>
  <c r="S45" i="7"/>
  <c r="P46" i="7"/>
  <c r="W46" i="7" s="1"/>
  <c r="Q47" i="7"/>
  <c r="R48" i="7"/>
  <c r="S49" i="7"/>
  <c r="T49" i="7" s="1"/>
  <c r="P50" i="7"/>
  <c r="W50" i="7" s="1"/>
  <c r="Q7" i="7"/>
  <c r="R8" i="7"/>
  <c r="S9" i="7"/>
  <c r="P10" i="7"/>
  <c r="W10" i="7" s="1"/>
  <c r="Q11" i="7"/>
  <c r="R12" i="7"/>
  <c r="S13" i="7"/>
  <c r="P14" i="7"/>
  <c r="W14" i="7" s="1"/>
  <c r="Q18" i="7"/>
  <c r="V18" i="7" s="1"/>
  <c r="R19" i="7"/>
  <c r="S20" i="7"/>
  <c r="P21" i="7"/>
  <c r="W21" i="7" s="1"/>
  <c r="Q22" i="7"/>
  <c r="P23" i="7"/>
  <c r="W23" i="7" s="1"/>
  <c r="S24" i="7"/>
  <c r="R25" i="7"/>
  <c r="Q26" i="7"/>
  <c r="P31" i="7"/>
  <c r="W31" i="7" s="1"/>
  <c r="Q32" i="7"/>
  <c r="R33" i="7"/>
  <c r="S34" i="7"/>
  <c r="P35" i="7"/>
  <c r="W35" i="7" s="1"/>
  <c r="Q36" i="7"/>
  <c r="R37" i="7"/>
  <c r="S38" i="7"/>
  <c r="P39" i="7"/>
  <c r="W39" i="7" s="1"/>
  <c r="Q42" i="7"/>
  <c r="R43" i="7"/>
  <c r="S44" i="7"/>
  <c r="P45" i="7"/>
  <c r="W45" i="7" s="1"/>
  <c r="Q46" i="7"/>
  <c r="R47" i="7"/>
  <c r="S48" i="7"/>
  <c r="P49" i="7"/>
  <c r="W49" i="7" s="1"/>
  <c r="B5" i="5"/>
  <c r="C5" i="5"/>
  <c r="D5" i="5" s="1"/>
  <c r="C6" i="5"/>
  <c r="B7" i="5"/>
  <c r="C7" i="5"/>
  <c r="D7" i="5"/>
  <c r="C8" i="5"/>
  <c r="C9" i="5"/>
  <c r="D9" i="5"/>
  <c r="C10" i="5"/>
  <c r="D10" i="5"/>
  <c r="B11" i="5"/>
  <c r="C11" i="5"/>
  <c r="B12" i="5"/>
  <c r="C12" i="5" s="1"/>
  <c r="B13" i="5"/>
  <c r="C13" i="5"/>
  <c r="B14" i="5"/>
  <c r="C14" i="5"/>
  <c r="B15" i="5"/>
  <c r="C15" i="5" s="1"/>
  <c r="B18" i="5"/>
  <c r="C18" i="5"/>
  <c r="D18" i="5" s="1"/>
  <c r="B19" i="5"/>
  <c r="C19" i="5" s="1"/>
  <c r="D19" i="5" s="1"/>
  <c r="B20" i="5"/>
  <c r="C20" i="5" s="1"/>
  <c r="D20" i="5" s="1"/>
  <c r="B21" i="5"/>
  <c r="C21" i="5" s="1"/>
  <c r="D21" i="5" s="1"/>
  <c r="B16" i="5" l="1"/>
  <c r="C16" i="5" s="1"/>
  <c r="D16" i="5" s="1"/>
  <c r="AA20" i="7"/>
  <c r="V20" i="7"/>
  <c r="V21" i="7"/>
  <c r="AC19" i="7"/>
  <c r="AA19" i="7"/>
  <c r="Z19" i="7"/>
  <c r="AD19" i="7" s="1"/>
  <c r="U34" i="7"/>
  <c r="T34" i="7"/>
  <c r="U46" i="7"/>
  <c r="T46" i="7"/>
  <c r="U42" i="7"/>
  <c r="T42" i="7"/>
  <c r="U36" i="7"/>
  <c r="T36" i="7"/>
  <c r="U32" i="7"/>
  <c r="T32" i="7"/>
  <c r="U19" i="7"/>
  <c r="T19" i="7"/>
  <c r="U12" i="7"/>
  <c r="T12" i="7"/>
  <c r="U8" i="7"/>
  <c r="T8" i="7"/>
  <c r="T14" i="7"/>
  <c r="U14" i="7"/>
  <c r="U38" i="7"/>
  <c r="T38" i="7"/>
  <c r="U48" i="7"/>
  <c r="T48" i="7"/>
  <c r="AA21" i="7"/>
  <c r="Z21" i="7"/>
  <c r="AD21" i="7" s="1"/>
  <c r="AC21" i="7"/>
  <c r="AA23" i="7"/>
  <c r="Z23" i="7"/>
  <c r="AA26" i="7"/>
  <c r="Z26" i="7"/>
  <c r="AA22" i="7"/>
  <c r="Z22" i="7"/>
  <c r="AC18" i="7"/>
  <c r="AA18" i="7"/>
  <c r="Z18" i="7"/>
  <c r="AD18" i="7" s="1"/>
  <c r="T6" i="7"/>
  <c r="U6" i="7"/>
  <c r="U44" i="7"/>
  <c r="T44" i="7"/>
  <c r="T45" i="7"/>
  <c r="U45" i="7"/>
  <c r="Z25" i="7"/>
  <c r="AA25" i="7"/>
  <c r="U9" i="7"/>
  <c r="T9" i="7"/>
  <c r="T39" i="7"/>
  <c r="U39" i="7"/>
  <c r="U26" i="7"/>
  <c r="T26" i="7"/>
  <c r="U22" i="7"/>
  <c r="T22" i="7"/>
  <c r="U18" i="7"/>
  <c r="T18" i="7"/>
  <c r="U11" i="7"/>
  <c r="T11" i="7"/>
  <c r="U7" i="7"/>
  <c r="T7" i="7"/>
  <c r="T47" i="7"/>
  <c r="U47" i="7"/>
  <c r="U43" i="7"/>
  <c r="T43" i="7"/>
  <c r="T37" i="7"/>
  <c r="U37" i="7"/>
  <c r="U33" i="7"/>
  <c r="T33" i="7"/>
  <c r="U25" i="7"/>
  <c r="T25" i="7"/>
  <c r="T35" i="7"/>
  <c r="U35" i="7"/>
  <c r="U13" i="7"/>
  <c r="T13" i="7"/>
  <c r="T31" i="7"/>
  <c r="U31" i="7"/>
  <c r="T21" i="7"/>
  <c r="U21" i="7"/>
  <c r="U24" i="7"/>
  <c r="T24" i="7"/>
  <c r="U20" i="7"/>
  <c r="T20" i="7"/>
  <c r="A18" i="3"/>
  <c r="A7" i="3"/>
  <c r="A4" i="3" s="1"/>
  <c r="A5" i="3"/>
  <c r="A15" i="3" s="1"/>
  <c r="A2" i="3"/>
  <c r="A6" i="3" s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A8" i="3" l="1"/>
  <c r="A11" i="3"/>
  <c r="A16" i="3"/>
  <c r="A19" i="3"/>
  <c r="A20" i="3" s="1"/>
  <c r="A21" i="3" s="1"/>
  <c r="B20" i="1" l="1"/>
  <c r="K3" i="1"/>
  <c r="B7" i="1"/>
  <c r="B22" i="1"/>
  <c r="L2" i="1" l="1"/>
  <c r="L3" i="1"/>
  <c r="D3" i="1"/>
  <c r="B15" i="1"/>
  <c r="B17" i="1"/>
  <c r="F5" i="1" s="1"/>
  <c r="F6" i="1" s="1"/>
  <c r="F7" i="1" s="1"/>
  <c r="F8" i="1" s="1"/>
  <c r="F9" i="1" l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G5" i="1"/>
  <c r="L5" i="1" l="1"/>
  <c r="M5" i="1"/>
  <c r="I6" i="1"/>
  <c r="G6" i="1" s="1"/>
  <c r="H5" i="1"/>
  <c r="J5" i="1" s="1"/>
  <c r="L6" i="1" l="1"/>
  <c r="M6" i="1"/>
  <c r="D6" i="1"/>
  <c r="H6" i="1"/>
  <c r="J6" i="1" s="1"/>
  <c r="K6" i="1" s="1"/>
  <c r="I7" i="1"/>
  <c r="G7" i="1" s="1"/>
  <c r="L7" i="1" l="1"/>
  <c r="M7" i="1"/>
  <c r="D7" i="1"/>
  <c r="H7" i="1"/>
  <c r="J7" i="1" s="1"/>
  <c r="K7" i="1" s="1"/>
  <c r="I8" i="1"/>
  <c r="G8" i="1" s="1"/>
  <c r="L8" i="1" l="1"/>
  <c r="M8" i="1"/>
  <c r="D8" i="1"/>
  <c r="H8" i="1"/>
  <c r="J8" i="1" s="1"/>
  <c r="K8" i="1" s="1"/>
  <c r="I9" i="1"/>
  <c r="G9" i="1" s="1"/>
  <c r="L9" i="1" l="1"/>
  <c r="M9" i="1"/>
  <c r="D9" i="1"/>
  <c r="H9" i="1"/>
  <c r="J9" i="1" s="1"/>
  <c r="K9" i="1" s="1"/>
  <c r="I10" i="1"/>
  <c r="G10" i="1" s="1"/>
  <c r="L10" i="1" l="1"/>
  <c r="M10" i="1"/>
  <c r="D10" i="1"/>
  <c r="H10" i="1"/>
  <c r="J10" i="1" s="1"/>
  <c r="K10" i="1" s="1"/>
  <c r="I11" i="1"/>
  <c r="G11" i="1" s="1"/>
  <c r="L11" i="1" l="1"/>
  <c r="M11" i="1"/>
  <c r="D11" i="1"/>
  <c r="H11" i="1"/>
  <c r="J11" i="1" s="1"/>
  <c r="K11" i="1" s="1"/>
  <c r="I12" i="1"/>
  <c r="G12" i="1" s="1"/>
  <c r="L12" i="1" l="1"/>
  <c r="M12" i="1"/>
  <c r="D12" i="1"/>
  <c r="H12" i="1"/>
  <c r="J12" i="1" s="1"/>
  <c r="K12" i="1" s="1"/>
  <c r="I13" i="1"/>
  <c r="G13" i="1" s="1"/>
  <c r="L13" i="1" l="1"/>
  <c r="M13" i="1"/>
  <c r="D13" i="1"/>
  <c r="H13" i="1"/>
  <c r="J13" i="1" s="1"/>
  <c r="K13" i="1" s="1"/>
  <c r="I14" i="1"/>
  <c r="G14" i="1" s="1"/>
  <c r="L14" i="1" l="1"/>
  <c r="M14" i="1"/>
  <c r="D14" i="1"/>
  <c r="H14" i="1"/>
  <c r="J14" i="1" s="1"/>
  <c r="K14" i="1" s="1"/>
  <c r="I15" i="1"/>
  <c r="G15" i="1" s="1"/>
  <c r="L15" i="1" l="1"/>
  <c r="M15" i="1"/>
  <c r="D15" i="1"/>
  <c r="H15" i="1"/>
  <c r="J15" i="1" s="1"/>
  <c r="K15" i="1" s="1"/>
  <c r="I16" i="1"/>
  <c r="G16" i="1" s="1"/>
  <c r="L16" i="1" l="1"/>
  <c r="M16" i="1"/>
  <c r="D16" i="1"/>
  <c r="H16" i="1"/>
  <c r="J16" i="1" s="1"/>
  <c r="K16" i="1" s="1"/>
  <c r="I17" i="1"/>
  <c r="G17" i="1" s="1"/>
  <c r="L17" i="1" l="1"/>
  <c r="M17" i="1"/>
  <c r="D17" i="1"/>
  <c r="H17" i="1"/>
  <c r="J17" i="1" s="1"/>
  <c r="K17" i="1" s="1"/>
  <c r="I18" i="1"/>
  <c r="G18" i="1" s="1"/>
  <c r="L18" i="1" l="1"/>
  <c r="M18" i="1"/>
  <c r="D18" i="1"/>
  <c r="H18" i="1"/>
  <c r="J18" i="1" s="1"/>
  <c r="K18" i="1" s="1"/>
  <c r="I19" i="1"/>
  <c r="G19" i="1" s="1"/>
  <c r="L19" i="1" l="1"/>
  <c r="M19" i="1"/>
  <c r="D19" i="1"/>
  <c r="H19" i="1"/>
  <c r="J19" i="1" s="1"/>
  <c r="K19" i="1" s="1"/>
  <c r="I20" i="1"/>
  <c r="G20" i="1" s="1"/>
  <c r="L20" i="1" l="1"/>
  <c r="M20" i="1"/>
  <c r="D20" i="1"/>
  <c r="H20" i="1"/>
  <c r="J20" i="1" s="1"/>
  <c r="K20" i="1" s="1"/>
  <c r="I21" i="1"/>
  <c r="G21" i="1" s="1"/>
  <c r="L21" i="1" l="1"/>
  <c r="M21" i="1"/>
  <c r="D21" i="1"/>
  <c r="H21" i="1"/>
  <c r="J21" i="1" s="1"/>
  <c r="K21" i="1" s="1"/>
  <c r="I22" i="1"/>
  <c r="G22" i="1" s="1"/>
  <c r="L22" i="1" l="1"/>
  <c r="M22" i="1"/>
  <c r="D22" i="1"/>
  <c r="H22" i="1"/>
  <c r="J22" i="1" s="1"/>
  <c r="K22" i="1" s="1"/>
  <c r="I23" i="1"/>
  <c r="G23" i="1" s="1"/>
  <c r="L23" i="1" l="1"/>
  <c r="M23" i="1"/>
  <c r="D23" i="1"/>
  <c r="H23" i="1"/>
  <c r="J23" i="1" s="1"/>
  <c r="K23" i="1" s="1"/>
  <c r="I24" i="1"/>
  <c r="G24" i="1" s="1"/>
  <c r="L24" i="1" l="1"/>
  <c r="M24" i="1"/>
  <c r="D24" i="1"/>
  <c r="H24" i="1"/>
  <c r="J24" i="1" s="1"/>
  <c r="K24" i="1" s="1"/>
  <c r="I25" i="1"/>
  <c r="G25" i="1" s="1"/>
  <c r="L25" i="1" l="1"/>
  <c r="M25" i="1"/>
  <c r="D25" i="1"/>
  <c r="H25" i="1"/>
  <c r="J25" i="1" s="1"/>
  <c r="K25" i="1" s="1"/>
  <c r="I26" i="1"/>
  <c r="G26" i="1" s="1"/>
  <c r="L26" i="1" l="1"/>
  <c r="M26" i="1"/>
  <c r="D26" i="1"/>
  <c r="H26" i="1"/>
  <c r="J26" i="1" s="1"/>
  <c r="K26" i="1" s="1"/>
  <c r="I27" i="1"/>
  <c r="G27" i="1" s="1"/>
  <c r="L27" i="1" l="1"/>
  <c r="M27" i="1"/>
  <c r="D27" i="1"/>
  <c r="H27" i="1"/>
  <c r="J27" i="1" s="1"/>
  <c r="K27" i="1" s="1"/>
  <c r="I28" i="1"/>
  <c r="G28" i="1" s="1"/>
  <c r="L28" i="1" l="1"/>
  <c r="M28" i="1"/>
  <c r="D28" i="1"/>
  <c r="H28" i="1"/>
  <c r="J28" i="1" s="1"/>
  <c r="K28" i="1" s="1"/>
  <c r="I29" i="1"/>
  <c r="G29" i="1" s="1"/>
  <c r="L29" i="1" l="1"/>
  <c r="M29" i="1"/>
  <c r="D29" i="1"/>
  <c r="H29" i="1"/>
  <c r="J29" i="1" s="1"/>
  <c r="K29" i="1" s="1"/>
  <c r="I30" i="1"/>
  <c r="G30" i="1" s="1"/>
  <c r="L30" i="1" l="1"/>
  <c r="M30" i="1"/>
  <c r="D30" i="1"/>
  <c r="H30" i="1"/>
  <c r="J30" i="1" s="1"/>
  <c r="I31" i="1"/>
  <c r="G31" i="1" s="1"/>
  <c r="L31" i="1" l="1"/>
  <c r="M31" i="1"/>
  <c r="D31" i="1"/>
  <c r="K30" i="1"/>
  <c r="H31" i="1"/>
  <c r="J31" i="1" s="1"/>
  <c r="K31" i="1" s="1"/>
  <c r="I32" i="1"/>
  <c r="G32" i="1" s="1"/>
  <c r="L32" i="1" l="1"/>
  <c r="M32" i="1"/>
  <c r="D32" i="1"/>
  <c r="H32" i="1"/>
  <c r="J32" i="1" s="1"/>
  <c r="K32" i="1" s="1"/>
  <c r="I33" i="1"/>
  <c r="G33" i="1" s="1"/>
  <c r="L33" i="1" l="1"/>
  <c r="M33" i="1"/>
  <c r="D33" i="1"/>
  <c r="H33" i="1"/>
  <c r="J33" i="1" s="1"/>
  <c r="K33" i="1" s="1"/>
  <c r="I34" i="1"/>
  <c r="G34" i="1" s="1"/>
  <c r="L34" i="1" l="1"/>
  <c r="M34" i="1"/>
  <c r="D34" i="1"/>
  <c r="H34" i="1"/>
  <c r="J34" i="1" s="1"/>
  <c r="K34" i="1" s="1"/>
  <c r="I35" i="1"/>
  <c r="G35" i="1" s="1"/>
  <c r="L35" i="1" l="1"/>
  <c r="M35" i="1"/>
  <c r="I36" i="1"/>
  <c r="G36" i="1" s="1"/>
  <c r="H36" i="1" s="1"/>
  <c r="D35" i="1"/>
  <c r="H35" i="1"/>
  <c r="J35" i="1" s="1"/>
  <c r="K35" i="1" s="1"/>
  <c r="L36" i="1" l="1"/>
  <c r="M36" i="1"/>
  <c r="I37" i="1"/>
  <c r="G37" i="1" s="1"/>
  <c r="H37" i="1" s="1"/>
  <c r="D36" i="1"/>
  <c r="D37" i="1" l="1"/>
  <c r="L37" i="1"/>
  <c r="M37" i="1"/>
  <c r="I38" i="1"/>
  <c r="G38" i="1" s="1"/>
  <c r="H38" i="1" s="1"/>
  <c r="L38" i="1" l="1"/>
  <c r="M38" i="1"/>
  <c r="I39" i="1"/>
  <c r="G39" i="1" s="1"/>
  <c r="H39" i="1" s="1"/>
  <c r="L39" i="1" l="1"/>
  <c r="M39" i="1"/>
  <c r="I40" i="1"/>
  <c r="G40" i="1" s="1"/>
  <c r="H40" i="1" s="1"/>
  <c r="L40" i="1" l="1"/>
  <c r="M40" i="1"/>
  <c r="I41" i="1"/>
  <c r="G41" i="1" s="1"/>
  <c r="H41" i="1" s="1"/>
  <c r="L41" i="1" l="1"/>
  <c r="M41" i="1"/>
  <c r="I42" i="1"/>
  <c r="G42" i="1" s="1"/>
  <c r="H42" i="1" s="1"/>
  <c r="L42" i="1" l="1"/>
  <c r="M42" i="1"/>
  <c r="I43" i="1"/>
  <c r="G43" i="1" s="1"/>
  <c r="H43" i="1" s="1"/>
  <c r="L43" i="1" l="1"/>
  <c r="M43" i="1"/>
  <c r="I44" i="1"/>
  <c r="G44" i="1" s="1"/>
  <c r="H44" i="1" s="1"/>
  <c r="L44" i="1" l="1"/>
  <c r="M44" i="1"/>
  <c r="I45" i="1"/>
  <c r="G45" i="1" s="1"/>
  <c r="H45" i="1" s="1"/>
  <c r="L45" i="1" l="1"/>
  <c r="M45" i="1"/>
  <c r="I46" i="1"/>
  <c r="G46" i="1" s="1"/>
  <c r="H46" i="1" s="1"/>
  <c r="L46" i="1" l="1"/>
  <c r="M46" i="1"/>
  <c r="I47" i="1"/>
  <c r="G47" i="1" s="1"/>
  <c r="H47" i="1" s="1"/>
  <c r="L47" i="1" l="1"/>
  <c r="M47" i="1"/>
  <c r="I48" i="1"/>
  <c r="G48" i="1" s="1"/>
  <c r="I49" i="1" l="1"/>
  <c r="G49" i="1" s="1"/>
  <c r="H49" i="1" s="1"/>
  <c r="H48" i="1"/>
  <c r="L48" i="1"/>
  <c r="M48" i="1"/>
  <c r="L49" i="1" l="1"/>
  <c r="I50" i="1"/>
  <c r="G50" i="1" s="1"/>
  <c r="H50" i="1" s="1"/>
  <c r="M49" i="1"/>
  <c r="M50" i="1" l="1"/>
  <c r="L50" i="1"/>
  <c r="I51" i="1"/>
  <c r="G51" i="1" s="1"/>
  <c r="H51" i="1" s="1"/>
  <c r="M51" i="1" l="1"/>
  <c r="L51" i="1"/>
  <c r="I52" i="1"/>
  <c r="G52" i="1" s="1"/>
  <c r="H52" i="1" s="1"/>
  <c r="L52" i="1" l="1"/>
  <c r="I53" i="1"/>
  <c r="G53" i="1" s="1"/>
  <c r="H53" i="1" s="1"/>
  <c r="M52" i="1"/>
  <c r="L53" i="1" l="1"/>
  <c r="M53" i="1"/>
  <c r="I54" i="1"/>
  <c r="G54" i="1" s="1"/>
  <c r="H54" i="1" s="1"/>
  <c r="I55" i="1" l="1"/>
  <c r="G55" i="1" s="1"/>
  <c r="I56" i="1" s="1"/>
  <c r="H55" i="1" l="1"/>
  <c r="G56" i="1"/>
  <c r="I57" i="1" s="1"/>
  <c r="H56" i="1" l="1"/>
  <c r="G57" i="1"/>
  <c r="I58" i="1" s="1"/>
  <c r="H57" i="1" l="1"/>
  <c r="G58" i="1"/>
  <c r="I59" i="1" s="1"/>
  <c r="H58" i="1" l="1"/>
  <c r="G59" i="1"/>
  <c r="I60" i="1" s="1"/>
  <c r="H59" i="1" l="1"/>
  <c r="G60" i="1"/>
  <c r="H60" i="1" s="1"/>
  <c r="I61" i="1" l="1"/>
  <c r="G61" i="1" s="1"/>
  <c r="H61" i="1"/>
  <c r="I62" i="1"/>
  <c r="G62" i="1" s="1"/>
  <c r="H62" i="1" l="1"/>
  <c r="I63" i="1"/>
  <c r="G63" i="1" s="1"/>
  <c r="H63" i="1" l="1"/>
  <c r="I64" i="1"/>
  <c r="G64" i="1" s="1"/>
  <c r="H64" i="1" l="1"/>
  <c r="I65" i="1"/>
  <c r="G65" i="1" s="1"/>
  <c r="H65" i="1" l="1"/>
  <c r="I66" i="1"/>
  <c r="G66" i="1" s="1"/>
  <c r="H66" i="1" l="1"/>
  <c r="I67" i="1"/>
  <c r="G67" i="1" s="1"/>
  <c r="H67" i="1" l="1"/>
  <c r="I68" i="1"/>
  <c r="G68" i="1" s="1"/>
  <c r="H68" i="1" l="1"/>
  <c r="I69" i="1"/>
  <c r="G69" i="1" s="1"/>
  <c r="H69" i="1" l="1"/>
  <c r="I70" i="1"/>
  <c r="G70" i="1" s="1"/>
  <c r="H70" i="1" l="1"/>
  <c r="I71" i="1"/>
  <c r="G71" i="1" s="1"/>
  <c r="H71" i="1" l="1"/>
  <c r="I72" i="1"/>
  <c r="G72" i="1" s="1"/>
  <c r="H72" i="1" l="1"/>
  <c r="I73" i="1"/>
  <c r="G73" i="1" s="1"/>
  <c r="H73" i="1" l="1"/>
  <c r="I74" i="1"/>
  <c r="G74" i="1" s="1"/>
  <c r="H74" i="1" l="1"/>
  <c r="I75" i="1"/>
  <c r="G75" i="1" s="1"/>
  <c r="H75" i="1" l="1"/>
  <c r="I76" i="1"/>
  <c r="G76" i="1" s="1"/>
  <c r="H76" i="1" l="1"/>
  <c r="I77" i="1"/>
  <c r="G77" i="1" s="1"/>
  <c r="H77" i="1" l="1"/>
  <c r="I78" i="1"/>
  <c r="G78" i="1" s="1"/>
  <c r="H78" i="1" l="1"/>
  <c r="I79" i="1"/>
  <c r="G79" i="1" s="1"/>
  <c r="H79" i="1" l="1"/>
  <c r="I80" i="1"/>
  <c r="G80" i="1" s="1"/>
  <c r="H80" i="1" l="1"/>
  <c r="I81" i="1"/>
  <c r="G81" i="1" s="1"/>
  <c r="I82" i="1" l="1"/>
  <c r="G82" i="1" s="1"/>
  <c r="H81" i="1"/>
  <c r="H82" i="1" l="1"/>
  <c r="I83" i="1"/>
  <c r="G83" i="1" s="1"/>
  <c r="H83" i="1" l="1"/>
  <c r="I84" i="1"/>
  <c r="G84" i="1" s="1"/>
  <c r="H84" i="1" l="1"/>
  <c r="I85" i="1"/>
  <c r="G85" i="1" s="1"/>
  <c r="H85" i="1" l="1"/>
  <c r="I86" i="1"/>
  <c r="G86" i="1" s="1"/>
  <c r="H86" i="1" l="1"/>
  <c r="I87" i="1"/>
  <c r="G87" i="1" s="1"/>
  <c r="I88" i="1" l="1"/>
  <c r="G88" i="1" s="1"/>
  <c r="H87" i="1"/>
  <c r="H88" i="1" l="1"/>
  <c r="I89" i="1"/>
  <c r="G89" i="1" s="1"/>
  <c r="H89" i="1" l="1"/>
  <c r="I90" i="1"/>
  <c r="G90" i="1" s="1"/>
  <c r="H90" i="1" l="1"/>
  <c r="I91" i="1"/>
  <c r="G91" i="1" s="1"/>
  <c r="I92" i="1" l="1"/>
  <c r="G92" i="1" s="1"/>
  <c r="H91" i="1"/>
  <c r="I93" i="1" l="1"/>
  <c r="G93" i="1" s="1"/>
  <c r="H92" i="1"/>
  <c r="I94" i="1" l="1"/>
  <c r="G94" i="1" s="1"/>
  <c r="H93" i="1"/>
  <c r="I95" i="1" l="1"/>
  <c r="G95" i="1" s="1"/>
  <c r="H94" i="1"/>
  <c r="H95" i="1" l="1"/>
  <c r="I96" i="1"/>
  <c r="G96" i="1" s="1"/>
  <c r="H96" i="1" l="1"/>
  <c r="I97" i="1"/>
  <c r="G97" i="1" s="1"/>
  <c r="I98" i="1" l="1"/>
  <c r="G98" i="1" s="1"/>
  <c r="H97" i="1"/>
  <c r="H98" i="1" l="1"/>
  <c r="I99" i="1"/>
  <c r="G99" i="1" s="1"/>
  <c r="H99" i="1" l="1"/>
  <c r="I100" i="1"/>
  <c r="G100" i="1" s="1"/>
  <c r="H100" i="1" l="1"/>
  <c r="I101" i="1"/>
  <c r="G101" i="1" s="1"/>
  <c r="H101" i="1" l="1"/>
  <c r="I102" i="1"/>
  <c r="G102" i="1" s="1"/>
  <c r="H102" i="1" l="1"/>
  <c r="I103" i="1"/>
  <c r="G103" i="1" s="1"/>
  <c r="H103" i="1" l="1"/>
  <c r="I104" i="1"/>
  <c r="G104" i="1" s="1"/>
  <c r="H104" i="1" l="1"/>
  <c r="I105" i="1"/>
  <c r="G105" i="1" s="1"/>
  <c r="H105" i="1" l="1"/>
  <c r="I106" i="1"/>
  <c r="G106" i="1" s="1"/>
  <c r="H106" i="1" l="1"/>
  <c r="I107" i="1"/>
  <c r="G107" i="1" s="1"/>
  <c r="H107" i="1" l="1"/>
  <c r="I108" i="1"/>
  <c r="G108" i="1" s="1"/>
  <c r="H108" i="1" l="1"/>
  <c r="I109" i="1"/>
  <c r="G109" i="1" s="1"/>
  <c r="H109" i="1" l="1"/>
  <c r="I110" i="1"/>
  <c r="G110" i="1" s="1"/>
  <c r="H110" i="1" l="1"/>
  <c r="I111" i="1"/>
  <c r="G111" i="1" s="1"/>
  <c r="H111" i="1" l="1"/>
  <c r="I112" i="1"/>
  <c r="G112" i="1" s="1"/>
  <c r="I113" i="1" s="1"/>
  <c r="G113" i="1" s="1"/>
  <c r="I114" i="1" s="1"/>
  <c r="G114" i="1" s="1"/>
  <c r="I115" i="1" s="1"/>
  <c r="G115" i="1" s="1"/>
  <c r="I116" i="1" s="1"/>
  <c r="G116" i="1" s="1"/>
  <c r="I117" i="1" s="1"/>
  <c r="G117" i="1" s="1"/>
  <c r="I118" i="1" s="1"/>
  <c r="G118" i="1" s="1"/>
  <c r="I119" i="1" s="1"/>
  <c r="G119" i="1" s="1"/>
  <c r="I120" i="1" s="1"/>
  <c r="G120" i="1" s="1"/>
  <c r="I121" i="1" s="1"/>
  <c r="G121" i="1" s="1"/>
  <c r="I122" i="1" s="1"/>
  <c r="G122" i="1" s="1"/>
  <c r="I123" i="1" s="1"/>
  <c r="G123" i="1" s="1"/>
  <c r="I124" i="1" s="1"/>
  <c r="G124" i="1" s="1"/>
  <c r="I125" i="1" s="1"/>
  <c r="G125" i="1" s="1"/>
  <c r="I126" i="1" s="1"/>
  <c r="G126" i="1" s="1"/>
  <c r="I127" i="1" s="1"/>
  <c r="G127" i="1" s="1"/>
  <c r="I128" i="1" s="1"/>
  <c r="G128" i="1" s="1"/>
  <c r="I129" i="1" s="1"/>
  <c r="G129" i="1" s="1"/>
  <c r="I130" i="1" s="1"/>
  <c r="G130" i="1" s="1"/>
  <c r="I131" i="1" s="1"/>
  <c r="G131" i="1" s="1"/>
  <c r="I132" i="1" s="1"/>
  <c r="G132" i="1" s="1"/>
  <c r="I133" i="1" s="1"/>
  <c r="G133" i="1" s="1"/>
  <c r="I134" i="1" s="1"/>
  <c r="G134" i="1" s="1"/>
  <c r="I135" i="1" s="1"/>
  <c r="G135" i="1" s="1"/>
  <c r="I136" i="1" s="1"/>
  <c r="G136" i="1" s="1"/>
  <c r="I137" i="1" s="1"/>
  <c r="G137" i="1" s="1"/>
  <c r="I138" i="1" s="1"/>
  <c r="G138" i="1" s="1"/>
  <c r="I139" i="1" s="1"/>
  <c r="G139" i="1" s="1"/>
  <c r="I140" i="1" s="1"/>
  <c r="G140" i="1" s="1"/>
  <c r="I141" i="1" s="1"/>
  <c r="G141" i="1" s="1"/>
  <c r="I142" i="1" s="1"/>
  <c r="G142" i="1" s="1"/>
  <c r="I143" i="1" s="1"/>
  <c r="G143" i="1" s="1"/>
  <c r="I144" i="1" s="1"/>
  <c r="G144" i="1" s="1"/>
  <c r="I145" i="1" s="1"/>
  <c r="G145" i="1" s="1"/>
  <c r="I146" i="1" s="1"/>
  <c r="G146" i="1" s="1"/>
  <c r="I147" i="1" s="1"/>
  <c r="G147" i="1" s="1"/>
  <c r="I148" i="1" s="1"/>
  <c r="G148" i="1" s="1"/>
  <c r="I149" i="1" s="1"/>
  <c r="G149" i="1" s="1"/>
  <c r="I150" i="1" s="1"/>
  <c r="G150" i="1" s="1"/>
  <c r="I151" i="1" s="1"/>
  <c r="G151" i="1" s="1"/>
  <c r="I152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K5" i="1"/>
  <c r="K4" i="1"/>
  <c r="D4" i="1"/>
  <c r="D5" i="1" l="1"/>
  <c r="L4" i="1"/>
</calcChain>
</file>

<file path=xl/sharedStrings.xml><?xml version="1.0" encoding="utf-8"?>
<sst xmlns="http://schemas.openxmlformats.org/spreadsheetml/2006/main" count="187" uniqueCount="148">
  <si>
    <t>pps</t>
  </si>
  <si>
    <t>start pps</t>
  </si>
  <si>
    <t>max speed</t>
  </si>
  <si>
    <t>prescaler</t>
  </si>
  <si>
    <t>The given parameters are:</t>
  </si>
  <si>
    <t>a - acceleration,</t>
  </si>
  <si>
    <t>F - timer frequency</t>
  </si>
  <si>
    <t>and the calculated parameters are:</t>
  </si>
  <si>
    <t>S - acceleration/deceleration distance</t>
  </si>
  <si>
    <t>pS - delay period for the slew speed steps</t>
  </si>
  <si>
    <t>R - constant multiplier</t>
  </si>
  <si>
    <t>The variable delay period p (initially p = p1) that will be recalculated for</t>
  </si>
  <si>
    <t>each next step is:</t>
  </si>
  <si>
    <t>where</t>
  </si>
  <si>
    <t>m - variable multiplier that depends on the movement phase:</t>
  </si>
  <si>
    <t>m = -R during acceleration phase,</t>
  </si>
  <si>
    <t>m = 0 between acceleration and deceleration phases,</t>
  </si>
  <si>
    <t>m = R during deceleration phase.</t>
  </si>
  <si>
    <t>For accuracy purpose let's set</t>
  </si>
  <si>
    <t>p = pS if p &lt; pS or between acceleration and deceleration phases,</t>
  </si>
  <si>
    <t>p = p1 if p &gt; p1 .</t>
  </si>
  <si>
    <t>S = (v *v - v0 *v0) / (2 * a)</t>
  </si>
  <si>
    <t>p1 = F / sqrt((v0 * v0 + 2 *a))</t>
  </si>
  <si>
    <t>R = a / (F*F)</t>
  </si>
  <si>
    <t>p = p*(1 + m * p * p)</t>
  </si>
  <si>
    <t>q = m*p*p</t>
  </si>
  <si>
    <t>p = p *(1 + q + 1.5 *q*q)</t>
  </si>
  <si>
    <t>pS = F / v</t>
  </si>
  <si>
    <t>Hz</t>
  </si>
  <si>
    <t>PPSPS</t>
  </si>
  <si>
    <t>period(ARR)</t>
  </si>
  <si>
    <t>ARR table</t>
  </si>
  <si>
    <t>processor speed</t>
  </si>
  <si>
    <t>better formula:</t>
  </si>
  <si>
    <t>target PPS</t>
  </si>
  <si>
    <t>p(ARR) good</t>
  </si>
  <si>
    <t>p(ARR) better</t>
  </si>
  <si>
    <t>ARR_8_24 format</t>
  </si>
  <si>
    <t>rev/m</t>
  </si>
  <si>
    <t>rev/sec</t>
  </si>
  <si>
    <t>tread pitch to cut</t>
  </si>
  <si>
    <t>ARR</t>
  </si>
  <si>
    <t>steps/per mm setup</t>
  </si>
  <si>
    <t>steps/sec</t>
  </si>
  <si>
    <t>encoder*2</t>
  </si>
  <si>
    <t>HZ spindle encoder</t>
  </si>
  <si>
    <t>mm per spindle step</t>
  </si>
  <si>
    <t>steps to accelerate to 4000</t>
  </si>
  <si>
    <t>mm accel path len</t>
  </si>
  <si>
    <t>spindle steps accel path</t>
  </si>
  <si>
    <t>sec, accel time</t>
  </si>
  <si>
    <t>spindle steps when accel</t>
  </si>
  <si>
    <t>mm accel path len by spindle</t>
  </si>
  <si>
    <t>z1z</t>
  </si>
  <si>
    <t>x1z</t>
  </si>
  <si>
    <t>z0z</t>
  </si>
  <si>
    <t>x0z</t>
  </si>
  <si>
    <t>octant</t>
  </si>
  <si>
    <t>R</t>
  </si>
  <si>
    <t>zcdelta</t>
  </si>
  <si>
    <t>xcdelta</t>
  </si>
  <si>
    <t>zc</t>
  </si>
  <si>
    <t>xc</t>
  </si>
  <si>
    <t>k</t>
  </si>
  <si>
    <t>i</t>
  </si>
  <si>
    <t>z1</t>
  </si>
  <si>
    <t>x1</t>
  </si>
  <si>
    <t>z0</t>
  </si>
  <si>
    <t>x0</t>
  </si>
  <si>
    <t>steps</t>
  </si>
  <si>
    <t>mm</t>
  </si>
  <si>
    <t xml:space="preserve">G3 X12. Z-4.5 I-1.99 K-2.245 </t>
  </si>
  <si>
    <t xml:space="preserve">G1 X10., </t>
  </si>
  <si>
    <t>G1 X0. Z-2.5 F1.,</t>
  </si>
  <si>
    <t>a</t>
  </si>
  <si>
    <t>e2</t>
  </si>
  <si>
    <t>err</t>
  </si>
  <si>
    <t>x</t>
  </si>
  <si>
    <t>z</t>
  </si>
  <si>
    <t>b</t>
  </si>
  <si>
    <t>Q2</t>
  </si>
  <si>
    <t>exy=e+(2x+1)b²+(2y+1)a²</t>
  </si>
  <si>
    <t>dx</t>
  </si>
  <si>
    <t>dy</t>
  </si>
  <si>
    <t>y</t>
  </si>
  <si>
    <t>e</t>
  </si>
  <si>
    <t>exy</t>
  </si>
  <si>
    <t>ey=(x+1)²b²+y²a²–a²b²</t>
  </si>
  <si>
    <t>ex=x²b²+(y+1)²a²–a²b²</t>
  </si>
  <si>
    <t>ex+exy&gt;0?x++</t>
  </si>
  <si>
    <t>ey+exy&lt;0?y++</t>
  </si>
  <si>
    <t>y++</t>
  </si>
  <si>
    <t>err+=ex</t>
  </si>
  <si>
    <t>Q1:</t>
  </si>
  <si>
    <t>exy=e+(2x+1)b²-(2y-1)a²</t>
  </si>
  <si>
    <t>e = exy-(2x+1)b²+(2y-1)a²</t>
  </si>
  <si>
    <t>ex=x²b²+(y-1)²a²–a²b²=x²b²+y²a²-(2y-1)a²–a²b²=e-(2y-1)a²=exy-(2x+1)b²</t>
  </si>
  <si>
    <t>Q1</t>
  </si>
  <si>
    <t>ey=(x+1)²b²+y²a²–a²b²=x²b²+(2x+1)b²+y²a²–a²b²=e+(2x+1)b²=exy+(2y-1)a²</t>
  </si>
  <si>
    <t>ex=x²b²+(y-1)²a²–a²b²</t>
  </si>
  <si>
    <r>
      <t>ex+exy</t>
    </r>
    <r>
      <rPr>
        <b/>
        <sz val="11"/>
        <color rgb="FFFF0000"/>
        <rFont val="Calibri"/>
        <family val="2"/>
        <charset val="204"/>
        <scheme val="minor"/>
      </rPr>
      <t>&lt;</t>
    </r>
    <r>
      <rPr>
        <sz val="11"/>
        <color theme="1"/>
        <rFont val="Calibri"/>
        <family val="2"/>
        <charset val="204"/>
        <scheme val="minor"/>
      </rPr>
      <t>0?x++</t>
    </r>
  </si>
  <si>
    <r>
      <t>ey+exy</t>
    </r>
    <r>
      <rPr>
        <b/>
        <sz val="11"/>
        <color rgb="FFFF0000"/>
        <rFont val="Calibri"/>
        <family val="2"/>
        <charset val="204"/>
        <scheme val="minor"/>
      </rPr>
      <t>&gt;</t>
    </r>
    <r>
      <rPr>
        <sz val="11"/>
        <color theme="1"/>
        <rFont val="Calibri"/>
        <family val="2"/>
        <charset val="204"/>
        <scheme val="minor"/>
      </rPr>
      <t>0?y--</t>
    </r>
  </si>
  <si>
    <t>ey</t>
  </si>
  <si>
    <t>ex</t>
  </si>
  <si>
    <t>2exy-(2x+1)b²&lt;0</t>
  </si>
  <si>
    <t>2exy+(2y-1)a²&gt;0?</t>
  </si>
  <si>
    <r>
      <t>(</t>
    </r>
    <r>
      <rPr>
        <i/>
        <sz val="10"/>
        <color theme="1"/>
        <rFont val="Times"/>
        <family val="1"/>
      </rPr>
      <t>a</t>
    </r>
    <r>
      <rPr>
        <sz val="10"/>
        <color theme="1"/>
        <rFont val="Times"/>
        <family val="1"/>
      </rPr>
      <t> + </t>
    </r>
    <r>
      <rPr>
        <i/>
        <sz val="10"/>
        <color theme="1"/>
        <rFont val="Times"/>
        <family val="1"/>
      </rPr>
      <t>b</t>
    </r>
    <r>
      <rPr>
        <sz val="10"/>
        <color theme="1"/>
        <rFont val="Times"/>
        <family val="1"/>
      </rPr>
      <t>)</t>
    </r>
    <r>
      <rPr>
        <vertAlign val="superscript"/>
        <sz val="10"/>
        <color theme="1"/>
        <rFont val="Times"/>
        <family val="1"/>
      </rPr>
      <t>2</t>
    </r>
    <r>
      <rPr>
        <sz val="10"/>
        <color theme="1"/>
        <rFont val="Times"/>
        <family val="1"/>
      </rPr>
      <t> = </t>
    </r>
    <r>
      <rPr>
        <i/>
        <sz val="10"/>
        <color theme="1"/>
        <rFont val="Times"/>
        <family val="1"/>
      </rPr>
      <t>a</t>
    </r>
    <r>
      <rPr>
        <vertAlign val="superscript"/>
        <sz val="10"/>
        <color theme="1"/>
        <rFont val="Times"/>
        <family val="1"/>
      </rPr>
      <t>2</t>
    </r>
    <r>
      <rPr>
        <sz val="10"/>
        <color theme="1"/>
        <rFont val="Times"/>
        <family val="1"/>
      </rPr>
      <t> + 2</t>
    </r>
    <r>
      <rPr>
        <i/>
        <sz val="10"/>
        <color theme="1"/>
        <rFont val="Times"/>
        <family val="1"/>
      </rPr>
      <t>ab</t>
    </r>
    <r>
      <rPr>
        <sz val="10"/>
        <color theme="1"/>
        <rFont val="Times"/>
        <family val="1"/>
      </rPr>
      <t> + </t>
    </r>
    <r>
      <rPr>
        <i/>
        <sz val="10"/>
        <color theme="1"/>
        <rFont val="Times"/>
        <family val="1"/>
      </rPr>
      <t>b</t>
    </r>
    <r>
      <rPr>
        <vertAlign val="superscript"/>
        <sz val="10"/>
        <color theme="1"/>
        <rFont val="Times"/>
        <family val="1"/>
      </rPr>
      <t>2</t>
    </r>
    <r>
      <rPr>
        <sz val="10"/>
        <color theme="1"/>
        <rFont val="Times"/>
        <family val="1"/>
      </rPr>
      <t>,</t>
    </r>
  </si>
  <si>
    <r>
      <t>(</t>
    </r>
    <r>
      <rPr>
        <i/>
        <sz val="10"/>
        <color theme="1"/>
        <rFont val="Times"/>
        <family val="1"/>
      </rPr>
      <t>a</t>
    </r>
    <r>
      <rPr>
        <sz val="10"/>
        <color theme="1"/>
        <rFont val="Times"/>
        <family val="1"/>
      </rPr>
      <t> – </t>
    </r>
    <r>
      <rPr>
        <i/>
        <sz val="10"/>
        <color theme="1"/>
        <rFont val="Times"/>
        <family val="1"/>
      </rPr>
      <t>b</t>
    </r>
    <r>
      <rPr>
        <sz val="10"/>
        <color theme="1"/>
        <rFont val="Times"/>
        <family val="1"/>
      </rPr>
      <t>)</t>
    </r>
    <r>
      <rPr>
        <vertAlign val="superscript"/>
        <sz val="10"/>
        <color theme="1"/>
        <rFont val="Times"/>
        <family val="1"/>
      </rPr>
      <t>2</t>
    </r>
    <r>
      <rPr>
        <sz val="10"/>
        <color theme="1"/>
        <rFont val="Times"/>
        <family val="1"/>
      </rPr>
      <t> = </t>
    </r>
    <r>
      <rPr>
        <i/>
        <sz val="10"/>
        <color theme="1"/>
        <rFont val="Times"/>
        <family val="1"/>
      </rPr>
      <t>a</t>
    </r>
    <r>
      <rPr>
        <vertAlign val="superscript"/>
        <sz val="10"/>
        <color theme="1"/>
        <rFont val="Times"/>
        <family val="1"/>
      </rPr>
      <t>2</t>
    </r>
    <r>
      <rPr>
        <sz val="10"/>
        <color theme="1"/>
        <rFont val="Times"/>
        <family val="1"/>
      </rPr>
      <t> – 2</t>
    </r>
    <r>
      <rPr>
        <i/>
        <sz val="10"/>
        <color theme="1"/>
        <rFont val="Times"/>
        <family val="1"/>
      </rPr>
      <t>ab</t>
    </r>
    <r>
      <rPr>
        <sz val="10"/>
        <color theme="1"/>
        <rFont val="Times"/>
        <family val="1"/>
      </rPr>
      <t> + </t>
    </r>
    <r>
      <rPr>
        <i/>
        <sz val="10"/>
        <color theme="1"/>
        <rFont val="Times"/>
        <family val="1"/>
      </rPr>
      <t>b</t>
    </r>
    <r>
      <rPr>
        <vertAlign val="superscript"/>
        <sz val="10"/>
        <color theme="1"/>
        <rFont val="Times"/>
        <family val="1"/>
      </rPr>
      <t>2</t>
    </r>
    <r>
      <rPr>
        <sz val="10"/>
        <color theme="1"/>
        <rFont val="Times"/>
        <family val="1"/>
      </rPr>
      <t>,</t>
    </r>
  </si>
  <si>
    <t>x2b2+y2a2-a2b2</t>
  </si>
  <si>
    <t>exy = (x+1)2b2+(y-1)2a2–a2b2</t>
  </si>
  <si>
    <t>e+(2x+1)b2+(2y+1)a2</t>
  </si>
  <si>
    <t>Q4</t>
  </si>
  <si>
    <t>e=x²b²+y²a²-a²b²</t>
  </si>
  <si>
    <t>e+(2*x+1)b2-(2*y-1)a2</t>
  </si>
  <si>
    <t>ey=(x-1)²b²+y²a²–a²b²</t>
  </si>
  <si>
    <r>
      <t>ex+exy</t>
    </r>
    <r>
      <rPr>
        <b/>
        <sz val="11"/>
        <color rgb="FFFF0000"/>
        <rFont val="Calibri"/>
        <family val="2"/>
        <charset val="204"/>
        <scheme val="minor"/>
      </rPr>
      <t>&gt;</t>
    </r>
    <r>
      <rPr>
        <sz val="11"/>
        <color theme="1"/>
        <rFont val="Calibri"/>
        <family val="2"/>
        <charset val="204"/>
        <scheme val="minor"/>
      </rPr>
      <t>0?</t>
    </r>
    <r>
      <rPr>
        <b/>
        <sz val="11"/>
        <color rgb="FFFF0000"/>
        <rFont val="Calibri"/>
        <family val="2"/>
        <charset val="204"/>
        <scheme val="minor"/>
      </rPr>
      <t>x--</t>
    </r>
  </si>
  <si>
    <t>ey+exy&lt;0?y--</t>
  </si>
  <si>
    <t>Q4:</t>
  </si>
  <si>
    <t>exy=(x-1)²b²+(y-1)²a²-a²b²=x²b²-2xb²+b²+y²a²-2ya²+a²-a²b²=e-(2x-1)b²-(2y-1)a²</t>
  </si>
  <si>
    <t>exy=e-(2x-1)b²-(2y-1)a²</t>
  </si>
  <si>
    <t>e=exy+(2x-1)b²+(2y-1)a²</t>
  </si>
  <si>
    <t>x+1y+1</t>
  </si>
  <si>
    <t>ex=x²b²+(y-1)²a²–a²b²=x²b²+y²a²-(2y-1)a²–a²b²=e-(2y-1)a²=exy+(2x-1)b²</t>
  </si>
  <si>
    <t>y2a2-2ya2+a2</t>
  </si>
  <si>
    <t>ey=(x-1)²b²+y²a²–a²b²=x²b²-(2x-1)b²+y²a²–a²b²=e-(2x-1)b²=exy+(2y-1)a²</t>
  </si>
  <si>
    <t>ex = x²b²+y²a²-2ya²+a²–a²b²</t>
  </si>
  <si>
    <t>ex=exy –(2x+1)b²</t>
  </si>
  <si>
    <t>ey = x²b²+y²a²–a²b²+2xb²+b²=e+(2x+1)b²=exy+(2y-1)a²</t>
  </si>
  <si>
    <t>ey=exy–(2y+1)a²</t>
  </si>
  <si>
    <t>x²b²+(2x+1)b²+y²a²–a²b²</t>
  </si>
  <si>
    <t>ex = x²b²+y²a²–a²b²-(2y-1)a²=exy-(2x+1)b²</t>
  </si>
  <si>
    <t>(y-1)²a²=y²a²-2ya²+a²</t>
  </si>
  <si>
    <t>exy-(2x+1)b²+(2y-1)a²=e</t>
  </si>
  <si>
    <t>y²a²-2ya²+a²</t>
  </si>
  <si>
    <t>Q3</t>
  </si>
  <si>
    <t>(x+1)²b²=x²b²+2xb²+b²</t>
  </si>
  <si>
    <r>
      <t>ex+exy</t>
    </r>
    <r>
      <rPr>
        <b/>
        <sz val="11"/>
        <color rgb="FFFF0000"/>
        <rFont val="Calibri"/>
        <family val="2"/>
        <charset val="204"/>
        <scheme val="minor"/>
      </rPr>
      <t>&lt;</t>
    </r>
    <r>
      <rPr>
        <sz val="11"/>
        <color theme="1"/>
        <rFont val="Calibri"/>
        <family val="2"/>
        <charset val="204"/>
        <scheme val="minor"/>
      </rPr>
      <t>0?</t>
    </r>
    <r>
      <rPr>
        <b/>
        <sz val="11"/>
        <color rgb="FFFF0000"/>
        <rFont val="Calibri"/>
        <family val="2"/>
        <charset val="204"/>
        <scheme val="minor"/>
      </rPr>
      <t>x--</t>
    </r>
  </si>
  <si>
    <r>
      <t>ey+exy</t>
    </r>
    <r>
      <rPr>
        <b/>
        <sz val="11"/>
        <color rgb="FFFF0000"/>
        <rFont val="Calibri"/>
        <family val="2"/>
        <charset val="204"/>
        <scheme val="minor"/>
      </rPr>
      <t>&gt;</t>
    </r>
    <r>
      <rPr>
        <sz val="11"/>
        <color theme="1"/>
        <rFont val="Calibri"/>
        <family val="2"/>
        <charset val="204"/>
        <scheme val="minor"/>
      </rPr>
      <t>0?</t>
    </r>
    <r>
      <rPr>
        <b/>
        <sz val="11"/>
        <color rgb="FFFF0000"/>
        <rFont val="Calibri"/>
        <family val="2"/>
        <charset val="204"/>
        <scheme val="minor"/>
      </rPr>
      <t>y++</t>
    </r>
  </si>
  <si>
    <t>exy=(x-1)²b²+(y+1)²a²-a²b²=x²b²-2xb²+b²+y²a²+2ya²+a²-a²b²=e-(2x-1)b²+(2y+1)a²</t>
  </si>
  <si>
    <t>e=exy+(2x-1)b²-(2y+1)a²</t>
  </si>
  <si>
    <t>ex=x²b²+(y+1)²a²–a²b²=x²b²+y²a²-(2y-1)a²–a²b²=e+(2y+1)a²=exy+(2x-1)b²</t>
  </si>
  <si>
    <t>ey=(x-1)²b²+y²a²–a²b²=x²b²-(2x-1)b²+y²a²–a²b²=e-(2x-1)b²=exy-(2y+1)a²</t>
  </si>
  <si>
    <t>2xb2+b2</t>
  </si>
  <si>
    <t>2xb2-2x+1b2</t>
  </si>
  <si>
    <t>(2*x+1)b²=2xb²+b²</t>
  </si>
  <si>
    <t>v - target velocity, slew speed</t>
  </si>
  <si>
    <t>v0 - initial velocity, base speed,</t>
  </si>
  <si>
    <t>p1 - delay period for the initial step: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</si>
</sst>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\ _₽_-;\-* #,##0.00\ _₽_-;_-* &quot;-&quot;??\ _₽_-;_-@_-"/>
    <numFmt numFmtId="164" formatCode="0.00000"/>
    <numFmt numFmtId="165" formatCode="0.0000"/>
    <numFmt numFmtId="166" formatCode="0.0"/>
    <numFmt numFmtId="167" formatCode="_-* #,##0\ _₽_-;\-* #,##0\ _₽_-;_-* &quot;-&quot;??\ _₽_-;_-@_-"/>
    <numFmt numFmtId="168" formatCode="0.00000000"/>
    <numFmt numFmtId="169" formatCode="_-* #,##0.0\ _₽_-;\-* #,##0.0\ _₽_-;_-* &quot;-&quot;?\ _₽_-;_-@_-"/>
    <numFmt numFmtId="170" formatCode="0.000"/>
    <numFmt numFmtId="181" formatCode="0.0000000000000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 tint="-0.34998626667073579"/>
      <name val="Calibri"/>
      <family val="2"/>
      <charset val="204"/>
      <scheme val="minor"/>
    </font>
    <font>
      <sz val="9"/>
      <color rgb="FF595959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0"/>
      <color theme="1"/>
      <name val="Times"/>
      <family val="1"/>
    </font>
    <font>
      <i/>
      <sz val="10"/>
      <color theme="1"/>
      <name val="Times"/>
      <family val="1"/>
    </font>
    <font>
      <vertAlign val="superscript"/>
      <sz val="10"/>
      <color theme="1"/>
      <name val="Times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16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1" fontId="0" fillId="2" borderId="0" xfId="0" applyNumberFormat="1" applyFill="1"/>
    <xf numFmtId="167" fontId="0" fillId="2" borderId="0" xfId="1" applyNumberFormat="1" applyFont="1" applyFill="1"/>
    <xf numFmtId="167" fontId="0" fillId="0" borderId="0" xfId="1" applyNumberFormat="1" applyFont="1"/>
    <xf numFmtId="166" fontId="0" fillId="3" borderId="2" xfId="0" applyNumberFormat="1" applyFill="1" applyBorder="1"/>
    <xf numFmtId="166" fontId="0" fillId="3" borderId="3" xfId="0" applyNumberFormat="1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6" fontId="0" fillId="4" borderId="1" xfId="0" applyNumberFormat="1" applyFill="1" applyBorder="1"/>
    <xf numFmtId="166" fontId="0" fillId="4" borderId="2" xfId="0" applyNumberFormat="1" applyFill="1" applyBorder="1"/>
    <xf numFmtId="0" fontId="0" fillId="4" borderId="0" xfId="0" applyFill="1"/>
    <xf numFmtId="166" fontId="2" fillId="0" borderId="0" xfId="0" applyNumberFormat="1" applyFont="1"/>
    <xf numFmtId="164" fontId="3" fillId="0" borderId="0" xfId="0" applyNumberFormat="1" applyFont="1" applyAlignment="1">
      <alignment horizontal="left" vertical="center" readingOrder="1"/>
    </xf>
    <xf numFmtId="168" fontId="0" fillId="0" borderId="0" xfId="0" applyNumberFormat="1"/>
    <xf numFmtId="2" fontId="0" fillId="0" borderId="0" xfId="0" applyNumberFormat="1"/>
    <xf numFmtId="169" fontId="0" fillId="0" borderId="0" xfId="0" applyNumberFormat="1"/>
    <xf numFmtId="0" fontId="0" fillId="2" borderId="0" xfId="0" applyFill="1" applyAlignment="1">
      <alignment horizontal="center" vertical="center" wrapText="1"/>
    </xf>
    <xf numFmtId="170" fontId="0" fillId="0" borderId="0" xfId="0" applyNumberFormat="1"/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/>
    <xf numFmtId="0" fontId="0" fillId="0" borderId="8" xfId="0" applyBorder="1"/>
    <xf numFmtId="0" fontId="0" fillId="0" borderId="0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center"/>
    </xf>
    <xf numFmtId="0" fontId="5" fillId="5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181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 PPS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yVal>
            <c:numRef>
              <c:f>Лист1!$J$2:$J$35</c:f>
              <c:numCache>
                <c:formatCode>General</c:formatCode>
                <c:ptCount val="34"/>
                <c:pt idx="3" formatCode="0">
                  <c:v>208.76826722338205</c:v>
                </c:pt>
                <c:pt idx="4" formatCode="0">
                  <c:v>243.70430544272949</c:v>
                </c:pt>
                <c:pt idx="5" formatCode="0">
                  <c:v>292.39766081871346</c:v>
                </c:pt>
                <c:pt idx="6" formatCode="0">
                  <c:v>344.82758620689657</c:v>
                </c:pt>
                <c:pt idx="7" formatCode="0">
                  <c:v>394.21813403416559</c:v>
                </c:pt>
                <c:pt idx="8" formatCode="0">
                  <c:v>439.88269794721407</c:v>
                </c:pt>
                <c:pt idx="9" formatCode="0">
                  <c:v>482.3151125401929</c:v>
                </c:pt>
                <c:pt idx="10" formatCode="0">
                  <c:v>520.83333333333337</c:v>
                </c:pt>
                <c:pt idx="11" formatCode="0">
                  <c:v>557.62081784386612</c:v>
                </c:pt>
                <c:pt idx="12" formatCode="0">
                  <c:v>591.71597633136093</c:v>
                </c:pt>
                <c:pt idx="13" formatCode="0">
                  <c:v>625</c:v>
                </c:pt>
                <c:pt idx="14" formatCode="0">
                  <c:v>655.02183406113534</c:v>
                </c:pt>
                <c:pt idx="15" formatCode="0">
                  <c:v>684.93150684931504</c:v>
                </c:pt>
                <c:pt idx="16" formatCode="0">
                  <c:v>714.28571428571433</c:v>
                </c:pt>
                <c:pt idx="17" formatCode="0">
                  <c:v>740.74074074074076</c:v>
                </c:pt>
                <c:pt idx="18" formatCode="0">
                  <c:v>767.26342710997437</c:v>
                </c:pt>
                <c:pt idx="19" formatCode="0">
                  <c:v>793.65079365079362</c:v>
                </c:pt>
                <c:pt idx="20" formatCode="0">
                  <c:v>817.43869209809259</c:v>
                </c:pt>
                <c:pt idx="21" formatCode="0">
                  <c:v>842.69662921348311</c:v>
                </c:pt>
                <c:pt idx="22" formatCode="0">
                  <c:v>864.55331412103749</c:v>
                </c:pt>
                <c:pt idx="23" formatCode="0">
                  <c:v>887.5739644970414</c:v>
                </c:pt>
                <c:pt idx="24" formatCode="0">
                  <c:v>909.09090909090912</c:v>
                </c:pt>
                <c:pt idx="25" formatCode="0">
                  <c:v>931.67701863354034</c:v>
                </c:pt>
                <c:pt idx="26" formatCode="0">
                  <c:v>952.38095238095241</c:v>
                </c:pt>
                <c:pt idx="27" formatCode="0">
                  <c:v>974.02597402597405</c:v>
                </c:pt>
                <c:pt idx="28" formatCode="0">
                  <c:v>993.37748344370857</c:v>
                </c:pt>
                <c:pt idx="29" formatCode="0">
                  <c:v>1013.5135135135135</c:v>
                </c:pt>
                <c:pt idx="30" formatCode="0">
                  <c:v>1034.4827586206898</c:v>
                </c:pt>
                <c:pt idx="31" formatCode="0">
                  <c:v>1052.6315789473683</c:v>
                </c:pt>
                <c:pt idx="32" formatCode="0">
                  <c:v>1071.4285714285713</c:v>
                </c:pt>
                <c:pt idx="33" formatCode="0">
                  <c:v>1090.909090909091</c:v>
                </c:pt>
              </c:numCache>
            </c:numRef>
          </c:yVal>
          <c:smooth val="1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Лист1!$M$2:$M$35</c:f>
              <c:numCache>
                <c:formatCode>_-* #\ ##0.0\ _₽_-;\-* #\ ##0.0\ _₽_-;_-* "-"?\ _₽_-;_-@_-</c:formatCode>
                <c:ptCount val="34"/>
                <c:pt idx="3">
                  <c:v>208.80613017821099</c:v>
                </c:pt>
                <c:pt idx="4">
                  <c:v>243.67209828576023</c:v>
                </c:pt>
                <c:pt idx="5">
                  <c:v>292.40006101302259</c:v>
                </c:pt>
                <c:pt idx="6">
                  <c:v>344.74772451762777</c:v>
                </c:pt>
                <c:pt idx="7">
                  <c:v>394.35874060546962</c:v>
                </c:pt>
                <c:pt idx="8">
                  <c:v>440.03143692479534</c:v>
                </c:pt>
                <c:pt idx="9">
                  <c:v>482.11394386876282</c:v>
                </c:pt>
                <c:pt idx="10">
                  <c:v>521.17052431883496</c:v>
                </c:pt>
                <c:pt idx="11">
                  <c:v>557.69985514203893</c:v>
                </c:pt>
                <c:pt idx="12">
                  <c:v>592.10117694056908</c:v>
                </c:pt>
                <c:pt idx="13">
                  <c:v>624.68871380354847</c:v>
                </c:pt>
                <c:pt idx="14">
                  <c:v>655.71108433692723</c:v>
                </c:pt>
                <c:pt idx="15">
                  <c:v>685.36736237531932</c:v>
                </c:pt>
                <c:pt idx="16">
                  <c:v>713.81911534285325</c:v>
                </c:pt>
                <c:pt idx="17">
                  <c:v>741.19921562036393</c:v>
                </c:pt>
                <c:pt idx="18">
                  <c:v>767.61829107819574</c:v>
                </c:pt>
                <c:pt idx="19">
                  <c:v>793.16949026335078</c:v>
                </c:pt>
                <c:pt idx="20">
                  <c:v>817.93204621478105</c:v>
                </c:pt>
                <c:pt idx="21">
                  <c:v>841.97397731643673</c:v>
                </c:pt>
                <c:pt idx="22">
                  <c:v>865.35416119711988</c:v>
                </c:pt>
                <c:pt idx="23">
                  <c:v>888.12394733828319</c:v>
                </c:pt>
                <c:pt idx="24">
                  <c:v>910.32842588654194</c:v>
                </c:pt>
                <c:pt idx="25">
                  <c:v>932.00743701080285</c:v>
                </c:pt>
                <c:pt idx="26">
                  <c:v>953.19638210035691</c:v>
                </c:pt>
                <c:pt idx="27">
                  <c:v>973.9268819036414</c:v>
                </c:pt>
                <c:pt idx="28">
                  <c:v>994.22731518675721</c:v>
                </c:pt>
                <c:pt idx="29">
                  <c:v>1014.1232631977515</c:v>
                </c:pt>
                <c:pt idx="30">
                  <c:v>1033.6378791828179</c:v>
                </c:pt>
                <c:pt idx="31">
                  <c:v>1052.7921977520673</c:v>
                </c:pt>
                <c:pt idx="32">
                  <c:v>1071.6053955807872</c:v>
                </c:pt>
                <c:pt idx="33">
                  <c:v>1090.095012441446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09098560"/>
        <c:axId val="-1409092576"/>
      </c:scatterChart>
      <c:valAx>
        <c:axId val="-140909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409092576"/>
        <c:crosses val="autoZero"/>
        <c:crossBetween val="midCat"/>
      </c:valAx>
      <c:valAx>
        <c:axId val="-140909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409098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ARR table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Лист1!$E$2:$E$26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Лист1!$F$2:$F$26</c:f>
              <c:numCache>
                <c:formatCode>0.0</c:formatCode>
                <c:ptCount val="25"/>
                <c:pt idx="3">
                  <c:v>1436.7394278317272</c:v>
                </c:pt>
                <c:pt idx="4">
                  <c:v>777.68464442267782</c:v>
                </c:pt>
                <c:pt idx="5">
                  <c:v>673.16496774998018</c:v>
                </c:pt>
                <c:pt idx="6">
                  <c:v>605.37709486456424</c:v>
                </c:pt>
                <c:pt idx="7">
                  <c:v>556.07499228878555</c:v>
                </c:pt>
                <c:pt idx="8">
                  <c:v>517.86406477110768</c:v>
                </c:pt>
                <c:pt idx="9">
                  <c:v>487.00130106892351</c:v>
                </c:pt>
                <c:pt idx="10">
                  <c:v>461.33413913067466</c:v>
                </c:pt>
                <c:pt idx="11">
                  <c:v>439.51516797636657</c:v>
                </c:pt>
                <c:pt idx="12">
                  <c:v>420.64789692555138</c:v>
                </c:pt>
                <c:pt idx="13">
                  <c:v>404.10758665094988</c:v>
                </c:pt>
                <c:pt idx="14">
                  <c:v>389.44270718017805</c:v>
                </c:pt>
                <c:pt idx="15">
                  <c:v>376.31713596099593</c:v>
                </c:pt>
                <c:pt idx="16">
                  <c:v>364.47447024508324</c:v>
                </c:pt>
                <c:pt idx="17">
                  <c:v>353.71505109645437</c:v>
                </c:pt>
                <c:pt idx="18">
                  <c:v>343.88064571056657</c:v>
                </c:pt>
                <c:pt idx="19">
                  <c:v>334.84392860567385</c:v>
                </c:pt>
                <c:pt idx="20">
                  <c:v>326.5010721302105</c:v>
                </c:pt>
                <c:pt idx="21">
                  <c:v>318.76641046340961</c:v>
                </c:pt>
                <c:pt idx="22">
                  <c:v>311.56852150994916</c:v>
                </c:pt>
                <c:pt idx="23">
                  <c:v>304.84730003176361</c:v>
                </c:pt>
                <c:pt idx="24">
                  <c:v>298.55173745662682</c:v>
                </c:pt>
              </c:numCache>
            </c:numRef>
          </c:yVal>
          <c:smooth val="1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Лист1!$E$2:$E$26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Лист1!$G$2:$G$26</c:f>
              <c:numCache>
                <c:formatCode>0.000</c:formatCode>
                <c:ptCount val="25"/>
                <c:pt idx="3">
                  <c:v>1436.7394278317272</c:v>
                </c:pt>
                <c:pt idx="4">
                  <c:v>1231.1627064013815</c:v>
                </c:pt>
                <c:pt idx="5">
                  <c:v>1025.9915779793182</c:v>
                </c:pt>
                <c:pt idx="6">
                  <c:v>870.20153771793866</c:v>
                </c:pt>
                <c:pt idx="7">
                  <c:v>760.72866938210097</c:v>
                </c:pt>
                <c:pt idx="8">
                  <c:v>681.76947105547879</c:v>
                </c:pt>
                <c:pt idx="9">
                  <c:v>622.25953805157644</c:v>
                </c:pt>
                <c:pt idx="10">
                  <c:v>575.62733501112177</c:v>
                </c:pt>
                <c:pt idx="11">
                  <c:v>537.92375456793673</c:v>
                </c:pt>
                <c:pt idx="12">
                  <c:v>506.67016328209712</c:v>
                </c:pt>
                <c:pt idx="13">
                  <c:v>480.23918692781717</c:v>
                </c:pt>
                <c:pt idx="14">
                  <c:v>457.51857360070113</c:v>
                </c:pt>
                <c:pt idx="15">
                  <c:v>437.72145635921703</c:v>
                </c:pt>
                <c:pt idx="16">
                  <c:v>420.27453951819086</c:v>
                </c:pt>
                <c:pt idx="17">
                  <c:v>404.74948391426454</c:v>
                </c:pt>
                <c:pt idx="18">
                  <c:v>390.81924373977637</c:v>
                </c:pt>
                <c:pt idx="19">
                  <c:v>378.22937427962967</c:v>
                </c:pt>
                <c:pt idx="20">
                  <c:v>366.77863569270511</c:v>
                </c:pt>
                <c:pt idx="21">
                  <c:v>356.30554872511436</c:v>
                </c:pt>
                <c:pt idx="22">
                  <c:v>346.67886681793249</c:v>
                </c:pt>
                <c:pt idx="23">
                  <c:v>337.79068890001577</c:v>
                </c:pt>
                <c:pt idx="24">
                  <c:v>329.55139207900584</c:v>
                </c:pt>
              </c:numCache>
            </c:numRef>
          </c:yVal>
          <c:smooth val="1"/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Лист1!$E$2:$E$26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Лист1!$H$2:$H$26</c:f>
              <c:numCache>
                <c:formatCode>0.0</c:formatCode>
                <c:ptCount val="25"/>
                <c:pt idx="3">
                  <c:v>1437</c:v>
                </c:pt>
                <c:pt idx="4">
                  <c:v>1231</c:v>
                </c:pt>
                <c:pt idx="5">
                  <c:v>1026</c:v>
                </c:pt>
                <c:pt idx="6">
                  <c:v>870</c:v>
                </c:pt>
                <c:pt idx="7">
                  <c:v>761</c:v>
                </c:pt>
                <c:pt idx="8">
                  <c:v>682</c:v>
                </c:pt>
                <c:pt idx="9">
                  <c:v>622</c:v>
                </c:pt>
                <c:pt idx="10">
                  <c:v>576</c:v>
                </c:pt>
                <c:pt idx="11">
                  <c:v>538</c:v>
                </c:pt>
                <c:pt idx="12">
                  <c:v>507</c:v>
                </c:pt>
                <c:pt idx="13">
                  <c:v>480</c:v>
                </c:pt>
                <c:pt idx="14">
                  <c:v>458</c:v>
                </c:pt>
                <c:pt idx="15">
                  <c:v>438</c:v>
                </c:pt>
                <c:pt idx="16">
                  <c:v>420</c:v>
                </c:pt>
                <c:pt idx="17">
                  <c:v>405</c:v>
                </c:pt>
                <c:pt idx="18">
                  <c:v>391</c:v>
                </c:pt>
                <c:pt idx="19">
                  <c:v>378</c:v>
                </c:pt>
                <c:pt idx="20">
                  <c:v>367</c:v>
                </c:pt>
                <c:pt idx="21">
                  <c:v>356</c:v>
                </c:pt>
                <c:pt idx="22">
                  <c:v>347</c:v>
                </c:pt>
                <c:pt idx="23">
                  <c:v>338</c:v>
                </c:pt>
                <c:pt idx="24">
                  <c:v>330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09087136"/>
        <c:axId val="-1409085504"/>
      </c:scatterChart>
      <c:valAx>
        <c:axId val="-140908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409085504"/>
        <c:crosses val="autoZero"/>
        <c:crossBetween val="midCat"/>
      </c:valAx>
      <c:valAx>
        <c:axId val="-140908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409087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Лист1!$R$41:$R$70</c:f>
              <c:numCache>
                <c:formatCode>0.00000</c:formatCode>
                <c:ptCount val="30"/>
                <c:pt idx="0">
                  <c:v>-400.39677700000004</c:v>
                </c:pt>
                <c:pt idx="1">
                  <c:v>-395.19657599999994</c:v>
                </c:pt>
                <c:pt idx="2">
                  <c:v>-384.79639900000006</c:v>
                </c:pt>
                <c:pt idx="3">
                  <c:v>-369.59624800000006</c:v>
                </c:pt>
                <c:pt idx="4">
                  <c:v>-349.99612500000012</c:v>
                </c:pt>
                <c:pt idx="5">
                  <c:v>-326.3960320000001</c:v>
                </c:pt>
                <c:pt idx="6">
                  <c:v>-299.19597100000033</c:v>
                </c:pt>
                <c:pt idx="7">
                  <c:v>-268.79594400000019</c:v>
                </c:pt>
                <c:pt idx="8">
                  <c:v>-235.59595300000001</c:v>
                </c:pt>
                <c:pt idx="9">
                  <c:v>-199.99600000000009</c:v>
                </c:pt>
                <c:pt idx="10">
                  <c:v>-162.39608700000031</c:v>
                </c:pt>
                <c:pt idx="11">
                  <c:v>-123.19621600000005</c:v>
                </c:pt>
                <c:pt idx="12">
                  <c:v>-82.79638900000009</c:v>
                </c:pt>
                <c:pt idx="13">
                  <c:v>-41.59660800000006</c:v>
                </c:pt>
                <c:pt idx="14">
                  <c:v>3.1249999997271516E-3</c:v>
                </c:pt>
                <c:pt idx="15">
                  <c:v>41.602807999999641</c:v>
                </c:pt>
                <c:pt idx="16">
                  <c:v>82.802438999999595</c:v>
                </c:pt>
                <c:pt idx="17">
                  <c:v>123.20201599999973</c:v>
                </c:pt>
                <c:pt idx="18">
                  <c:v>162.40153699999973</c:v>
                </c:pt>
                <c:pt idx="19">
                  <c:v>200.00099999999975</c:v>
                </c:pt>
                <c:pt idx="20">
                  <c:v>235.60040300000037</c:v>
                </c:pt>
                <c:pt idx="21">
                  <c:v>268.79974399999992</c:v>
                </c:pt>
                <c:pt idx="22">
                  <c:v>299.19902099999899</c:v>
                </c:pt>
                <c:pt idx="23">
                  <c:v>326.3982319999991</c:v>
                </c:pt>
                <c:pt idx="24">
                  <c:v>349.99737499999992</c:v>
                </c:pt>
                <c:pt idx="25">
                  <c:v>369.59644799999933</c:v>
                </c:pt>
                <c:pt idx="26">
                  <c:v>384.79544900000019</c:v>
                </c:pt>
                <c:pt idx="27">
                  <c:v>395.19437600000037</c:v>
                </c:pt>
                <c:pt idx="28">
                  <c:v>400.39322699999911</c:v>
                </c:pt>
                <c:pt idx="29">
                  <c:v>399.99199999999973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09090400"/>
        <c:axId val="-1409084960"/>
      </c:scatterChart>
      <c:valAx>
        <c:axId val="-140909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409084960"/>
        <c:crosses val="autoZero"/>
        <c:crossBetween val="midCat"/>
      </c:valAx>
      <c:valAx>
        <c:axId val="-140908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40909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Лист1!$M$1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Лист1!$M$2:$M$48</c:f>
              <c:numCache>
                <c:formatCode>_-* #\ ##0.0\ _₽_-;\-* #\ ##0.0\ _₽_-;_-* "-"?\ _₽_-;_-@_-</c:formatCode>
                <c:ptCount val="47"/>
                <c:pt idx="3">
                  <c:v>208.80613017821099</c:v>
                </c:pt>
                <c:pt idx="4">
                  <c:v>243.67209828576023</c:v>
                </c:pt>
                <c:pt idx="5">
                  <c:v>292.40006101302259</c:v>
                </c:pt>
                <c:pt idx="6">
                  <c:v>344.74772451762777</c:v>
                </c:pt>
                <c:pt idx="7">
                  <c:v>394.35874060546962</c:v>
                </c:pt>
                <c:pt idx="8">
                  <c:v>440.03143692479534</c:v>
                </c:pt>
                <c:pt idx="9">
                  <c:v>482.11394386876282</c:v>
                </c:pt>
                <c:pt idx="10">
                  <c:v>521.17052431883496</c:v>
                </c:pt>
                <c:pt idx="11">
                  <c:v>557.69985514203893</c:v>
                </c:pt>
                <c:pt idx="12">
                  <c:v>592.10117694056908</c:v>
                </c:pt>
                <c:pt idx="13">
                  <c:v>624.68871380354847</c:v>
                </c:pt>
                <c:pt idx="14">
                  <c:v>655.71108433692723</c:v>
                </c:pt>
                <c:pt idx="15">
                  <c:v>685.36736237531932</c:v>
                </c:pt>
                <c:pt idx="16">
                  <c:v>713.81911534285325</c:v>
                </c:pt>
                <c:pt idx="17">
                  <c:v>741.19921562036393</c:v>
                </c:pt>
                <c:pt idx="18">
                  <c:v>767.61829107819574</c:v>
                </c:pt>
                <c:pt idx="19">
                  <c:v>793.16949026335078</c:v>
                </c:pt>
                <c:pt idx="20">
                  <c:v>817.93204621478105</c:v>
                </c:pt>
                <c:pt idx="21">
                  <c:v>841.97397731643673</c:v>
                </c:pt>
                <c:pt idx="22">
                  <c:v>865.35416119711988</c:v>
                </c:pt>
                <c:pt idx="23">
                  <c:v>888.12394733828319</c:v>
                </c:pt>
                <c:pt idx="24">
                  <c:v>910.32842588654194</c:v>
                </c:pt>
                <c:pt idx="25">
                  <c:v>932.00743701080285</c:v>
                </c:pt>
                <c:pt idx="26">
                  <c:v>953.19638210035691</c:v>
                </c:pt>
                <c:pt idx="27">
                  <c:v>973.9268819036414</c:v>
                </c:pt>
                <c:pt idx="28">
                  <c:v>994.22731518675721</c:v>
                </c:pt>
                <c:pt idx="29">
                  <c:v>1014.1232631977515</c:v>
                </c:pt>
                <c:pt idx="30">
                  <c:v>1033.6378791828179</c:v>
                </c:pt>
                <c:pt idx="31">
                  <c:v>1052.7921977520673</c:v>
                </c:pt>
                <c:pt idx="32">
                  <c:v>1071.6053955807872</c:v>
                </c:pt>
                <c:pt idx="33">
                  <c:v>1090.095012441446</c:v>
                </c:pt>
                <c:pt idx="34">
                  <c:v>1108.277139670437</c:v>
                </c:pt>
                <c:pt idx="35">
                  <c:v>1126.1665817243077</c:v>
                </c:pt>
                <c:pt idx="36">
                  <c:v>1143.7769953601046</c:v>
                </c:pt>
                <c:pt idx="37">
                  <c:v>1161.1210101016891</c:v>
                </c:pt>
                <c:pt idx="38">
                  <c:v>1178.2103329685826</c:v>
                </c:pt>
                <c:pt idx="39">
                  <c:v>1195.0558399019194</c:v>
                </c:pt>
                <c:pt idx="40">
                  <c:v>1211.6676558904758</c:v>
                </c:pt>
                <c:pt idx="41">
                  <c:v>1228.0552254538218</c:v>
                </c:pt>
                <c:pt idx="42">
                  <c:v>1244.2273748606688</c:v>
                </c:pt>
                <c:pt idx="43">
                  <c:v>1260.1923672341861</c:v>
                </c:pt>
                <c:pt idx="44">
                  <c:v>1275.9579515114885</c:v>
                </c:pt>
                <c:pt idx="45">
                  <c:v>1291.5314060731457</c:v>
                </c:pt>
                <c:pt idx="46">
                  <c:v>1306.9195777338398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09089856"/>
        <c:axId val="-1409089312"/>
      </c:scatterChart>
      <c:valAx>
        <c:axId val="-140908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409089312"/>
        <c:crosses val="autoZero"/>
        <c:crossBetween val="midCat"/>
      </c:valAx>
      <c:valAx>
        <c:axId val="-140908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\ _₽_-;\-* #\ ##0.0\ _₽_-;_-* &quot;-&quot;?\ _₽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409089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426358</xdr:colOff>
      <xdr:row>1</xdr:row>
      <xdr:rowOff>127000</xdr:rowOff>
    </xdr:from>
    <xdr:to>
      <xdr:col>22</xdr:col>
      <xdr:colOff>145143</xdr:colOff>
      <xdr:row>16</xdr:row>
      <xdr:rowOff>79994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253997</xdr:colOff>
      <xdr:row>18</xdr:row>
      <xdr:rowOff>147864</xdr:rowOff>
    </xdr:from>
    <xdr:to>
      <xdr:col>23</xdr:col>
      <xdr:colOff>426355</xdr:colOff>
      <xdr:row>33</xdr:row>
      <xdr:rowOff>169635</xdr:rowOff>
    </xdr:to>
    <xdr:graphicFrame macro="">
      <xdr:nvGraphicFramePr>
        <xdr:cNvPr id="13" name="Диаграмма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848338</xdr:colOff>
      <xdr:row>91</xdr:row>
      <xdr:rowOff>55069</xdr:rowOff>
    </xdr:from>
    <xdr:to>
      <xdr:col>20</xdr:col>
      <xdr:colOff>430759</xdr:colOff>
      <xdr:row>105</xdr:row>
      <xdr:rowOff>177773</xdr:rowOff>
    </xdr:to>
    <xdr:graphicFrame macro="">
      <xdr:nvGraphicFramePr>
        <xdr:cNvPr id="15" name="Диаграмма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26529</xdr:colOff>
      <xdr:row>0</xdr:row>
      <xdr:rowOff>434851</xdr:rowOff>
    </xdr:from>
    <xdr:to>
      <xdr:col>30</xdr:col>
      <xdr:colOff>342380</xdr:colOff>
      <xdr:row>16</xdr:row>
      <xdr:rowOff>25043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405089</xdr:colOff>
      <xdr:row>5</xdr:row>
      <xdr:rowOff>23283</xdr:rowOff>
    </xdr:from>
    <xdr:to>
      <xdr:col>11</xdr:col>
      <xdr:colOff>248132</xdr:colOff>
      <xdr:row>20</xdr:row>
      <xdr:rowOff>171249</xdr:rowOff>
    </xdr:to>
    <xdr:sp macro="" textlink="">
      <xdr:nvSpPr>
        <xdr:cNvPr id="2" name="Пирог 1"/>
        <xdr:cNvSpPr/>
      </xdr:nvSpPr>
      <xdr:spPr>
        <a:xfrm>
          <a:off x="4062689" y="944033"/>
          <a:ext cx="2891043" cy="2910216"/>
        </a:xfrm>
        <a:prstGeom prst="pie">
          <a:avLst>
            <a:gd name="adj1" fmla="val 12580656"/>
            <a:gd name="adj2" fmla="val 15598426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6350</xdr:colOff>
      <xdr:row>3</xdr:row>
      <xdr:rowOff>69850</xdr:rowOff>
    </xdr:from>
    <xdr:to>
      <xdr:col>13</xdr:col>
      <xdr:colOff>25400</xdr:colOff>
      <xdr:row>23</xdr:row>
      <xdr:rowOff>177800</xdr:rowOff>
    </xdr:to>
    <xdr:grpSp>
      <xdr:nvGrpSpPr>
        <xdr:cNvPr id="3" name="Группа 2"/>
        <xdr:cNvGrpSpPr/>
      </xdr:nvGrpSpPr>
      <xdr:grpSpPr>
        <a:xfrm>
          <a:off x="6803390" y="618490"/>
          <a:ext cx="4286250" cy="3765550"/>
          <a:chOff x="4895850" y="622300"/>
          <a:chExt cx="4286250" cy="3790950"/>
        </a:xfrm>
      </xdr:grpSpPr>
      <xdr:cxnSp macro="">
        <xdr:nvCxnSpPr>
          <xdr:cNvPr id="4" name="Прямая соединительная линия 3"/>
          <xdr:cNvCxnSpPr/>
        </xdr:nvCxnSpPr>
        <xdr:spPr>
          <a:xfrm flipV="1">
            <a:off x="5250543" y="1029861"/>
            <a:ext cx="2857500" cy="2856339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Прямая со стрелкой 4"/>
          <xdr:cNvCxnSpPr/>
        </xdr:nvCxnSpPr>
        <xdr:spPr>
          <a:xfrm flipV="1">
            <a:off x="6731000" y="622300"/>
            <a:ext cx="0" cy="379095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6" name="Прямая со стрелкой 5"/>
          <xdr:cNvCxnSpPr/>
        </xdr:nvCxnSpPr>
        <xdr:spPr>
          <a:xfrm>
            <a:off x="4895850" y="2400300"/>
            <a:ext cx="4286250" cy="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7" name="Прямая соединительная линия 6"/>
          <xdr:cNvCxnSpPr/>
        </xdr:nvCxnSpPr>
        <xdr:spPr>
          <a:xfrm>
            <a:off x="5107215" y="787399"/>
            <a:ext cx="3160486" cy="314506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208643</xdr:colOff>
      <xdr:row>7</xdr:row>
      <xdr:rowOff>90714</xdr:rowOff>
    </xdr:from>
    <xdr:to>
      <xdr:col>10</xdr:col>
      <xdr:colOff>439965</xdr:colOff>
      <xdr:row>18</xdr:row>
      <xdr:rowOff>104322</xdr:rowOff>
    </xdr:to>
    <xdr:sp macro="" textlink="">
      <xdr:nvSpPr>
        <xdr:cNvPr id="8" name="Прямоугольник 7"/>
        <xdr:cNvSpPr/>
      </xdr:nvSpPr>
      <xdr:spPr>
        <a:xfrm>
          <a:off x="4475843" y="1379764"/>
          <a:ext cx="2060122" cy="2039258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5"/>
  <sheetViews>
    <sheetView tabSelected="1" zoomScale="116" zoomScaleNormal="100" workbookViewId="0">
      <selection activeCell="B1" sqref="B1"/>
    </sheetView>
  </sheetViews>
  <sheetFormatPr defaultRowHeight="15" x14ac:dyDescent="0.25"/>
  <cols>
    <col min="1" max="1" width="41" customWidth="1"/>
    <col min="2" max="2" width="19.5703125" customWidth="1"/>
    <col min="3" max="4" width="12.28515625" customWidth="1"/>
    <col min="5" max="6" width="9.42578125" bestFit="1" customWidth="1"/>
    <col min="7" max="7" width="10" bestFit="1" customWidth="1"/>
    <col min="8" max="8" width="13.7109375" customWidth="1"/>
    <col min="9" max="9" width="19.28515625" customWidth="1"/>
    <col min="10" max="10" width="6.7109375" customWidth="1"/>
    <col min="11" max="11" width="4.140625" bestFit="1" customWidth="1"/>
    <col min="12" max="12" width="12.7109375" customWidth="1"/>
    <col min="13" max="13" width="19.5703125" customWidth="1"/>
    <col min="14" max="14" width="9.42578125" bestFit="1" customWidth="1"/>
    <col min="15" max="15" width="15.28515625" bestFit="1" customWidth="1"/>
    <col min="17" max="17" width="9.28515625" bestFit="1" customWidth="1"/>
    <col min="18" max="18" width="11.42578125" customWidth="1"/>
  </cols>
  <sheetData>
    <row r="1" spans="1:15" ht="34.5" customHeight="1" thickBot="1" x14ac:dyDescent="0.3">
      <c r="A1" t="s">
        <v>1</v>
      </c>
      <c r="B1">
        <v>10</v>
      </c>
      <c r="C1" t="s">
        <v>0</v>
      </c>
      <c r="F1" s="11" t="s">
        <v>35</v>
      </c>
      <c r="G1" s="11" t="s">
        <v>36</v>
      </c>
      <c r="H1" s="20" t="s">
        <v>31</v>
      </c>
      <c r="I1" s="10"/>
      <c r="J1" s="11" t="s">
        <v>34</v>
      </c>
      <c r="L1" s="11" t="s">
        <v>37</v>
      </c>
    </row>
    <row r="2" spans="1:15" x14ac:dyDescent="0.25">
      <c r="A2" t="s">
        <v>2</v>
      </c>
      <c r="B2">
        <v>2000</v>
      </c>
      <c r="C2" t="s">
        <v>0</v>
      </c>
      <c r="E2">
        <v>1</v>
      </c>
      <c r="F2" s="15"/>
      <c r="G2" s="21"/>
      <c r="H2" s="12"/>
      <c r="J2" s="14"/>
      <c r="K2" s="4"/>
      <c r="L2" t="str">
        <f t="shared" ref="L2:L48" si="0">CONCATENATE("0x",DEC2HEX(G2*POWER(2,24),8),",")</f>
        <v>0x00000000,</v>
      </c>
      <c r="M2" s="19"/>
      <c r="N2">
        <f>10/0.00625</f>
        <v>1600</v>
      </c>
      <c r="O2" s="17"/>
    </row>
    <row r="3" spans="1:15" x14ac:dyDescent="0.25">
      <c r="A3" t="s">
        <v>32</v>
      </c>
      <c r="B3" s="7">
        <v>72000000</v>
      </c>
      <c r="C3" t="s">
        <v>28</v>
      </c>
      <c r="D3" s="3">
        <f t="shared" ref="D3:D5" si="1">G2-G3</f>
        <v>0</v>
      </c>
      <c r="E3">
        <v>2</v>
      </c>
      <c r="F3" s="15"/>
      <c r="G3" s="21"/>
      <c r="H3" s="13"/>
      <c r="J3" s="14"/>
      <c r="K3" s="4">
        <f t="shared" ref="K3:K5" si="2">J3-J2</f>
        <v>0</v>
      </c>
      <c r="L3" t="str">
        <f t="shared" si="0"/>
        <v>0x00000000,</v>
      </c>
      <c r="M3" s="19"/>
    </row>
    <row r="4" spans="1:15" x14ac:dyDescent="0.25">
      <c r="A4" s="7"/>
      <c r="D4" s="3">
        <f t="shared" si="1"/>
        <v>0</v>
      </c>
      <c r="E4">
        <v>3</v>
      </c>
      <c r="F4" s="15"/>
      <c r="G4" s="21"/>
      <c r="H4" s="13"/>
      <c r="J4" s="14"/>
      <c r="K4" s="4">
        <f t="shared" si="2"/>
        <v>0</v>
      </c>
      <c r="L4" t="str">
        <f t="shared" si="0"/>
        <v>0x00000000,</v>
      </c>
      <c r="M4" s="19"/>
    </row>
    <row r="5" spans="1:15" x14ac:dyDescent="0.25">
      <c r="D5" s="3">
        <f t="shared" si="1"/>
        <v>-1436.7394278317272</v>
      </c>
      <c r="E5">
        <v>4</v>
      </c>
      <c r="F5" s="15">
        <f>B17</f>
        <v>1436.7394278317272</v>
      </c>
      <c r="G5" s="21">
        <f>B17</f>
        <v>1436.7394278317272</v>
      </c>
      <c r="H5" s="8">
        <f>ROUND(G5,0)</f>
        <v>1437</v>
      </c>
      <c r="J5" s="4">
        <f t="shared" ref="J4:J35" si="3">$B$12/H5</f>
        <v>208.76826722338205</v>
      </c>
      <c r="K5" s="4">
        <f t="shared" si="2"/>
        <v>208.76826722338205</v>
      </c>
      <c r="L5" t="e">
        <f t="shared" si="0"/>
        <v>#NUM!</v>
      </c>
      <c r="M5" s="19">
        <f t="shared" ref="M2:M48" si="4">$B$12/G5</f>
        <v>208.80613017821099</v>
      </c>
    </row>
    <row r="6" spans="1:15" x14ac:dyDescent="0.25">
      <c r="A6" t="s">
        <v>30</v>
      </c>
      <c r="B6">
        <v>1</v>
      </c>
      <c r="D6" s="3">
        <f>G5-G6</f>
        <v>205.57672143034574</v>
      </c>
      <c r="E6">
        <v>5</v>
      </c>
      <c r="F6" s="15">
        <f t="shared" ref="F6:F35" si="5">F5*(1+-1*$B$22*F5*F5)</f>
        <v>777.68464442267782</v>
      </c>
      <c r="G6" s="21">
        <f t="shared" ref="G6:G48" si="6">G5*(1+I6+1.5*I6*I6)</f>
        <v>1231.1627064013815</v>
      </c>
      <c r="H6" s="8">
        <f t="shared" ref="H6:H35" si="7">ROUND(G6,0)</f>
        <v>1231</v>
      </c>
      <c r="I6" s="2">
        <f t="shared" ref="I6:I48" si="8">-1*$B$22*G5*G5</f>
        <v>-0.45871559633027531</v>
      </c>
      <c r="J6" s="4">
        <f t="shared" si="3"/>
        <v>243.70430544272949</v>
      </c>
      <c r="K6" s="4">
        <f>J6-J5</f>
        <v>34.936038219347438</v>
      </c>
      <c r="L6" t="e">
        <f t="shared" si="0"/>
        <v>#NUM!</v>
      </c>
      <c r="M6" s="19">
        <f t="shared" si="4"/>
        <v>243.67209828576023</v>
      </c>
      <c r="N6">
        <f t="shared" ref="N6:N44" si="9">I6*65536</f>
        <v>-30062.385321100923</v>
      </c>
    </row>
    <row r="7" spans="1:15" x14ac:dyDescent="0.25">
      <c r="A7" t="s">
        <v>3</v>
      </c>
      <c r="B7" s="5">
        <f>((((72000000)/((B6)/(1/B12)))+0.5)-1)</f>
        <v>239.5</v>
      </c>
      <c r="D7" s="3">
        <f t="shared" ref="D7:D37" si="10">G6-G7</f>
        <v>205.17112842206325</v>
      </c>
      <c r="E7">
        <v>6</v>
      </c>
      <c r="F7" s="15">
        <f t="shared" si="5"/>
        <v>673.16496774998018</v>
      </c>
      <c r="G7" s="21">
        <f t="shared" si="6"/>
        <v>1025.9915779793182</v>
      </c>
      <c r="H7" s="8">
        <f t="shared" si="7"/>
        <v>1026</v>
      </c>
      <c r="I7" s="2">
        <f t="shared" si="8"/>
        <v>-0.33683591325190537</v>
      </c>
      <c r="J7" s="4">
        <f t="shared" si="3"/>
        <v>292.39766081871346</v>
      </c>
      <c r="K7" s="4">
        <f t="shared" ref="K7:K35" si="11">J7-J6</f>
        <v>48.69335537598397</v>
      </c>
      <c r="L7" t="e">
        <f t="shared" si="0"/>
        <v>#NUM!</v>
      </c>
      <c r="M7" s="19">
        <f t="shared" si="4"/>
        <v>292.40006101302259</v>
      </c>
      <c r="N7">
        <f t="shared" si="9"/>
        <v>-22074.87841087687</v>
      </c>
    </row>
    <row r="8" spans="1:15" x14ac:dyDescent="0.25">
      <c r="A8" t="s">
        <v>4</v>
      </c>
      <c r="D8" s="3">
        <f t="shared" si="10"/>
        <v>155.79004026137954</v>
      </c>
      <c r="E8">
        <v>7</v>
      </c>
      <c r="F8" s="15">
        <f t="shared" si="5"/>
        <v>605.37709486456424</v>
      </c>
      <c r="G8" s="21">
        <f t="shared" si="6"/>
        <v>870.20153771793866</v>
      </c>
      <c r="H8" s="8">
        <f t="shared" si="7"/>
        <v>870</v>
      </c>
      <c r="I8" s="2">
        <f t="shared" si="8"/>
        <v>-0.23392415957433141</v>
      </c>
      <c r="J8" s="4">
        <f t="shared" si="3"/>
        <v>344.82758620689657</v>
      </c>
      <c r="K8" s="4">
        <f t="shared" si="11"/>
        <v>52.429925388183108</v>
      </c>
      <c r="L8" t="e">
        <f t="shared" si="0"/>
        <v>#NUM!</v>
      </c>
      <c r="M8" s="19">
        <f t="shared" si="4"/>
        <v>344.74772451762777</v>
      </c>
      <c r="N8">
        <f t="shared" si="9"/>
        <v>-15330.453721863383</v>
      </c>
    </row>
    <row r="9" spans="1:15" x14ac:dyDescent="0.25">
      <c r="A9" t="s">
        <v>146</v>
      </c>
      <c r="B9">
        <f>B1+50</f>
        <v>60</v>
      </c>
      <c r="C9" t="s">
        <v>0</v>
      </c>
      <c r="D9" s="3">
        <f t="shared" si="10"/>
        <v>109.47286833583769</v>
      </c>
      <c r="E9">
        <v>8</v>
      </c>
      <c r="F9" s="15">
        <f t="shared" si="5"/>
        <v>556.07499228878555</v>
      </c>
      <c r="G9" s="21">
        <f t="shared" si="6"/>
        <v>760.72866938210097</v>
      </c>
      <c r="H9" s="8">
        <f t="shared" si="7"/>
        <v>761</v>
      </c>
      <c r="I9" s="2">
        <f t="shared" si="8"/>
        <v>-0.16827793694370333</v>
      </c>
      <c r="J9" s="4">
        <f t="shared" si="3"/>
        <v>394.21813403416559</v>
      </c>
      <c r="K9" s="4">
        <f t="shared" si="11"/>
        <v>49.390547827269017</v>
      </c>
      <c r="L9" t="e">
        <f t="shared" si="0"/>
        <v>#NUM!</v>
      </c>
      <c r="M9" s="19">
        <f t="shared" si="4"/>
        <v>394.35874060546962</v>
      </c>
      <c r="N9">
        <f t="shared" si="9"/>
        <v>-11028.262875542541</v>
      </c>
    </row>
    <row r="10" spans="1:15" x14ac:dyDescent="0.25">
      <c r="A10" t="s">
        <v>145</v>
      </c>
      <c r="B10">
        <f>B2</f>
        <v>2000</v>
      </c>
      <c r="C10" t="s">
        <v>0</v>
      </c>
      <c r="D10" s="3">
        <f t="shared" si="10"/>
        <v>78.959198326622186</v>
      </c>
      <c r="E10">
        <v>9</v>
      </c>
      <c r="F10" s="15">
        <f t="shared" si="5"/>
        <v>517.86406477110768</v>
      </c>
      <c r="G10" s="21">
        <f t="shared" si="6"/>
        <v>681.76947105547879</v>
      </c>
      <c r="H10" s="8">
        <f t="shared" si="7"/>
        <v>682</v>
      </c>
      <c r="I10" s="2">
        <f t="shared" si="8"/>
        <v>-0.12860180187108042</v>
      </c>
      <c r="J10" s="4">
        <f t="shared" si="3"/>
        <v>439.88269794721407</v>
      </c>
      <c r="K10" s="4">
        <f t="shared" si="11"/>
        <v>45.664563913048482</v>
      </c>
      <c r="L10" t="e">
        <f t="shared" si="0"/>
        <v>#NUM!</v>
      </c>
      <c r="M10" s="19">
        <f t="shared" si="4"/>
        <v>440.03143692479534</v>
      </c>
      <c r="N10">
        <f t="shared" si="9"/>
        <v>-8428.0476874231263</v>
      </c>
    </row>
    <row r="11" spans="1:15" x14ac:dyDescent="0.25">
      <c r="A11" t="s">
        <v>5</v>
      </c>
      <c r="B11" s="7">
        <v>20000</v>
      </c>
      <c r="C11" t="s">
        <v>29</v>
      </c>
      <c r="D11" s="3">
        <f t="shared" si="10"/>
        <v>59.509933003902347</v>
      </c>
      <c r="E11">
        <v>10</v>
      </c>
      <c r="F11" s="15">
        <f t="shared" si="5"/>
        <v>487.00130106892351</v>
      </c>
      <c r="G11" s="21">
        <f t="shared" si="6"/>
        <v>622.25953805157644</v>
      </c>
      <c r="H11" s="8">
        <f t="shared" si="7"/>
        <v>622</v>
      </c>
      <c r="I11" s="2">
        <f t="shared" si="8"/>
        <v>-0.1032910248140594</v>
      </c>
      <c r="J11" s="4">
        <f t="shared" si="3"/>
        <v>482.3151125401929</v>
      </c>
      <c r="K11" s="4">
        <f t="shared" si="11"/>
        <v>42.43241459297883</v>
      </c>
      <c r="L11" t="e">
        <f t="shared" si="0"/>
        <v>#NUM!</v>
      </c>
      <c r="M11" s="19">
        <f t="shared" si="4"/>
        <v>482.11394386876282</v>
      </c>
      <c r="N11">
        <f t="shared" si="9"/>
        <v>-6769.2806022141967</v>
      </c>
    </row>
    <row r="12" spans="1:15" x14ac:dyDescent="0.25">
      <c r="A12" t="s">
        <v>6</v>
      </c>
      <c r="B12" s="6">
        <v>300000</v>
      </c>
      <c r="C12" t="s">
        <v>28</v>
      </c>
      <c r="D12" s="3">
        <f t="shared" si="10"/>
        <v>46.632203040454669</v>
      </c>
      <c r="E12">
        <v>11</v>
      </c>
      <c r="F12" s="15">
        <f t="shared" si="5"/>
        <v>461.33413913067466</v>
      </c>
      <c r="G12" s="21">
        <f t="shared" si="6"/>
        <v>575.62733501112177</v>
      </c>
      <c r="H12" s="8">
        <f t="shared" si="7"/>
        <v>576</v>
      </c>
      <c r="I12" s="2">
        <f t="shared" si="8"/>
        <v>-8.60459850435914E-2</v>
      </c>
      <c r="J12" s="4">
        <f t="shared" si="3"/>
        <v>520.83333333333337</v>
      </c>
      <c r="K12" s="4">
        <f t="shared" si="11"/>
        <v>38.518220793140472</v>
      </c>
      <c r="L12" t="e">
        <f t="shared" si="0"/>
        <v>#NUM!</v>
      </c>
      <c r="M12" s="19">
        <f t="shared" si="4"/>
        <v>521.17052431883496</v>
      </c>
      <c r="N12">
        <f t="shared" si="9"/>
        <v>-5639.109675816806</v>
      </c>
    </row>
    <row r="13" spans="1:15" x14ac:dyDescent="0.25">
      <c r="A13" t="s">
        <v>7</v>
      </c>
      <c r="D13" s="3">
        <f t="shared" si="10"/>
        <v>37.703580443185047</v>
      </c>
      <c r="E13">
        <v>12</v>
      </c>
      <c r="F13" s="15">
        <f t="shared" si="5"/>
        <v>439.51516797636657</v>
      </c>
      <c r="G13" s="21">
        <f t="shared" si="6"/>
        <v>537.92375456793673</v>
      </c>
      <c r="H13" s="8">
        <f t="shared" si="7"/>
        <v>538</v>
      </c>
      <c r="I13" s="2">
        <f t="shared" si="8"/>
        <v>-7.363262862489027E-2</v>
      </c>
      <c r="J13" s="4">
        <f t="shared" si="3"/>
        <v>557.62081784386612</v>
      </c>
      <c r="K13" s="4">
        <f t="shared" si="11"/>
        <v>36.787484510532749</v>
      </c>
      <c r="L13" t="e">
        <f t="shared" si="0"/>
        <v>#NUM!</v>
      </c>
      <c r="M13" s="19">
        <f t="shared" si="4"/>
        <v>557.69985514203893</v>
      </c>
      <c r="N13">
        <f t="shared" si="9"/>
        <v>-4825.5879495608087</v>
      </c>
    </row>
    <row r="14" spans="1:15" x14ac:dyDescent="0.25">
      <c r="A14" t="s">
        <v>8</v>
      </c>
      <c r="D14" s="3">
        <f t="shared" si="10"/>
        <v>31.253591285839605</v>
      </c>
      <c r="E14">
        <v>13</v>
      </c>
      <c r="F14" s="15">
        <f t="shared" si="5"/>
        <v>420.64789692555138</v>
      </c>
      <c r="G14" s="21">
        <f t="shared" si="6"/>
        <v>506.67016328209712</v>
      </c>
      <c r="H14" s="8">
        <f t="shared" si="7"/>
        <v>507</v>
      </c>
      <c r="I14" s="2">
        <f t="shared" si="8"/>
        <v>-6.4302659050770178E-2</v>
      </c>
      <c r="J14" s="4">
        <f t="shared" si="3"/>
        <v>591.71597633136093</v>
      </c>
      <c r="K14" s="4">
        <f t="shared" si="11"/>
        <v>34.095158487494814</v>
      </c>
      <c r="L14" t="e">
        <f t="shared" si="0"/>
        <v>#NUM!</v>
      </c>
      <c r="M14" s="19">
        <f t="shared" si="4"/>
        <v>592.10117694056908</v>
      </c>
      <c r="N14">
        <f t="shared" si="9"/>
        <v>-4214.1390635512744</v>
      </c>
    </row>
    <row r="15" spans="1:15" x14ac:dyDescent="0.25">
      <c r="A15" t="s">
        <v>21</v>
      </c>
      <c r="B15" s="4">
        <f>(B10*B10-B9*B9)/(2*B11)</f>
        <v>99.91</v>
      </c>
      <c r="D15" s="3">
        <f t="shared" si="10"/>
        <v>26.430976354279949</v>
      </c>
      <c r="E15">
        <v>14</v>
      </c>
      <c r="F15" s="15">
        <f t="shared" si="5"/>
        <v>404.10758665094988</v>
      </c>
      <c r="G15" s="21">
        <f t="shared" si="6"/>
        <v>480.23918692781717</v>
      </c>
      <c r="H15" s="8">
        <f t="shared" si="7"/>
        <v>480</v>
      </c>
      <c r="I15" s="2">
        <f t="shared" si="8"/>
        <v>-5.7047700968957102E-2</v>
      </c>
      <c r="J15" s="4">
        <f t="shared" si="3"/>
        <v>625</v>
      </c>
      <c r="K15" s="4">
        <f t="shared" si="11"/>
        <v>33.284023668639065</v>
      </c>
      <c r="L15" t="e">
        <f t="shared" si="0"/>
        <v>#NUM!</v>
      </c>
      <c r="M15" s="19">
        <f t="shared" si="4"/>
        <v>624.68871380354847</v>
      </c>
      <c r="N15">
        <f t="shared" si="9"/>
        <v>-3738.6781307015726</v>
      </c>
    </row>
    <row r="16" spans="1:15" x14ac:dyDescent="0.25">
      <c r="A16" t="s">
        <v>147</v>
      </c>
      <c r="D16" s="3">
        <f t="shared" si="10"/>
        <v>22.720613327116041</v>
      </c>
      <c r="E16">
        <v>15</v>
      </c>
      <c r="F16" s="15">
        <f t="shared" si="5"/>
        <v>389.44270718017805</v>
      </c>
      <c r="G16" s="21">
        <f t="shared" si="6"/>
        <v>457.51857360070113</v>
      </c>
      <c r="H16" s="8">
        <f t="shared" si="7"/>
        <v>458</v>
      </c>
      <c r="I16" s="2">
        <f t="shared" si="8"/>
        <v>-5.1251039258020201E-2</v>
      </c>
      <c r="J16" s="4">
        <f t="shared" si="3"/>
        <v>655.02183406113534</v>
      </c>
      <c r="K16" s="4">
        <f t="shared" si="11"/>
        <v>30.021834061135337</v>
      </c>
      <c r="L16" t="e">
        <f t="shared" si="0"/>
        <v>#NUM!</v>
      </c>
      <c r="M16" s="19">
        <f t="shared" si="4"/>
        <v>655.71108433692723</v>
      </c>
      <c r="N16">
        <f t="shared" si="9"/>
        <v>-3358.7881088136119</v>
      </c>
    </row>
    <row r="17" spans="1:14" x14ac:dyDescent="0.25">
      <c r="A17" t="s">
        <v>22</v>
      </c>
      <c r="B17" s="3">
        <f>B12/SQRT(B9*B9+2*B11)</f>
        <v>1436.7394278317272</v>
      </c>
      <c r="D17" s="3">
        <f t="shared" si="10"/>
        <v>19.797117241484102</v>
      </c>
      <c r="E17">
        <v>16</v>
      </c>
      <c r="F17" s="15">
        <f t="shared" si="5"/>
        <v>376.31713596099593</v>
      </c>
      <c r="G17" s="21">
        <f t="shared" si="6"/>
        <v>437.72145635921703</v>
      </c>
      <c r="H17" s="8">
        <f t="shared" si="7"/>
        <v>438</v>
      </c>
      <c r="I17" s="2">
        <f t="shared" si="8"/>
        <v>-4.6516276708804483E-2</v>
      </c>
      <c r="J17" s="4">
        <f t="shared" si="3"/>
        <v>684.93150684931504</v>
      </c>
      <c r="K17" s="4">
        <f t="shared" si="11"/>
        <v>29.909672788179705</v>
      </c>
      <c r="L17" t="e">
        <f t="shared" si="0"/>
        <v>#NUM!</v>
      </c>
      <c r="M17" s="19">
        <f t="shared" si="4"/>
        <v>685.36736237531932</v>
      </c>
      <c r="N17">
        <f t="shared" si="9"/>
        <v>-3048.4907103882106</v>
      </c>
    </row>
    <row r="18" spans="1:14" x14ac:dyDescent="0.25">
      <c r="D18" s="3">
        <f t="shared" si="10"/>
        <v>17.446916841026166</v>
      </c>
      <c r="E18">
        <v>17</v>
      </c>
      <c r="F18" s="15">
        <f t="shared" si="5"/>
        <v>364.47447024508324</v>
      </c>
      <c r="G18" s="21">
        <f t="shared" si="6"/>
        <v>420.27453951819086</v>
      </c>
      <c r="H18" s="8">
        <f t="shared" si="7"/>
        <v>420</v>
      </c>
      <c r="I18" s="2">
        <f t="shared" si="8"/>
        <v>-4.257779407938532E-2</v>
      </c>
      <c r="J18" s="4">
        <f t="shared" si="3"/>
        <v>714.28571428571433</v>
      </c>
      <c r="K18" s="4">
        <f t="shared" si="11"/>
        <v>29.354207436399292</v>
      </c>
      <c r="L18" t="e">
        <f t="shared" si="0"/>
        <v>#NUM!</v>
      </c>
      <c r="M18" s="19">
        <f t="shared" si="4"/>
        <v>713.81911534285325</v>
      </c>
      <c r="N18">
        <f t="shared" si="9"/>
        <v>-2790.3783127865963</v>
      </c>
    </row>
    <row r="19" spans="1:14" x14ac:dyDescent="0.25">
      <c r="A19" t="s">
        <v>9</v>
      </c>
      <c r="D19" s="3">
        <f t="shared" si="10"/>
        <v>15.525055603926319</v>
      </c>
      <c r="E19">
        <v>18</v>
      </c>
      <c r="F19" s="15">
        <f t="shared" si="5"/>
        <v>353.71505109645437</v>
      </c>
      <c r="G19" s="21">
        <f t="shared" si="6"/>
        <v>404.74948391426454</v>
      </c>
      <c r="H19" s="8">
        <f t="shared" si="7"/>
        <v>405</v>
      </c>
      <c r="I19" s="2">
        <f t="shared" si="8"/>
        <v>-3.9251264126050532E-2</v>
      </c>
      <c r="J19" s="4">
        <f t="shared" si="3"/>
        <v>740.74074074074076</v>
      </c>
      <c r="K19" s="4">
        <f t="shared" si="11"/>
        <v>26.455026455026427</v>
      </c>
      <c r="L19" t="e">
        <f t="shared" si="0"/>
        <v>#NUM!</v>
      </c>
      <c r="M19" s="19">
        <f t="shared" si="4"/>
        <v>741.19921562036393</v>
      </c>
      <c r="N19">
        <f t="shared" si="9"/>
        <v>-2572.3708457648477</v>
      </c>
    </row>
    <row r="20" spans="1:14" x14ac:dyDescent="0.25">
      <c r="A20" t="s">
        <v>27</v>
      </c>
      <c r="B20" s="3">
        <f>B12/B10</f>
        <v>150</v>
      </c>
      <c r="D20" s="3">
        <f t="shared" si="10"/>
        <v>13.930240174488176</v>
      </c>
      <c r="E20">
        <v>19</v>
      </c>
      <c r="F20" s="15">
        <f t="shared" si="5"/>
        <v>343.88064571056657</v>
      </c>
      <c r="G20" s="21">
        <f t="shared" si="6"/>
        <v>390.81924373977637</v>
      </c>
      <c r="H20" s="8">
        <f t="shared" si="7"/>
        <v>391</v>
      </c>
      <c r="I20" s="2">
        <f t="shared" si="8"/>
        <v>-3.6404921050858553E-2</v>
      </c>
      <c r="J20" s="4">
        <f t="shared" si="3"/>
        <v>767.26342710997437</v>
      </c>
      <c r="K20" s="4">
        <f t="shared" si="11"/>
        <v>26.522686369233611</v>
      </c>
      <c r="L20" t="e">
        <f t="shared" si="0"/>
        <v>#NUM!</v>
      </c>
      <c r="M20" s="19">
        <f t="shared" si="4"/>
        <v>767.61829107819574</v>
      </c>
      <c r="N20">
        <f t="shared" si="9"/>
        <v>-2385.8329059890661</v>
      </c>
    </row>
    <row r="21" spans="1:14" x14ac:dyDescent="0.25">
      <c r="A21" t="s">
        <v>10</v>
      </c>
      <c r="D21" s="3">
        <f t="shared" si="10"/>
        <v>12.589869460146701</v>
      </c>
      <c r="E21">
        <v>20</v>
      </c>
      <c r="F21" s="15">
        <f t="shared" si="5"/>
        <v>334.84392860567385</v>
      </c>
      <c r="G21" s="21">
        <f t="shared" si="6"/>
        <v>378.22937427962967</v>
      </c>
      <c r="H21" s="8">
        <f t="shared" si="7"/>
        <v>378</v>
      </c>
      <c r="I21" s="2">
        <f t="shared" si="8"/>
        <v>-3.3942151394962386E-2</v>
      </c>
      <c r="J21" s="4">
        <f t="shared" si="3"/>
        <v>793.65079365079362</v>
      </c>
      <c r="K21" s="4">
        <f t="shared" si="11"/>
        <v>26.387366540819244</v>
      </c>
      <c r="L21" t="e">
        <f t="shared" si="0"/>
        <v>#NUM!</v>
      </c>
      <c r="M21" s="19">
        <f t="shared" si="4"/>
        <v>793.16949026335078</v>
      </c>
      <c r="N21">
        <f t="shared" si="9"/>
        <v>-2224.4328338202549</v>
      </c>
    </row>
    <row r="22" spans="1:14" x14ac:dyDescent="0.25">
      <c r="A22" t="s">
        <v>23</v>
      </c>
      <c r="B22" s="39">
        <f>B11/(B12*B12)</f>
        <v>2.2222222222222222E-7</v>
      </c>
      <c r="D22" s="3">
        <f t="shared" si="10"/>
        <v>11.450738586924558</v>
      </c>
      <c r="E22">
        <v>21</v>
      </c>
      <c r="F22" s="15">
        <f t="shared" si="5"/>
        <v>326.5010721302105</v>
      </c>
      <c r="G22" s="21">
        <f t="shared" si="6"/>
        <v>366.77863569270511</v>
      </c>
      <c r="H22" s="8">
        <f t="shared" si="7"/>
        <v>367</v>
      </c>
      <c r="I22" s="2">
        <f t="shared" si="8"/>
        <v>-3.1790546570657816E-2</v>
      </c>
      <c r="J22" s="4">
        <f t="shared" si="3"/>
        <v>817.43869209809259</v>
      </c>
      <c r="K22" s="4">
        <f t="shared" si="11"/>
        <v>23.787898447298971</v>
      </c>
      <c r="L22" t="e">
        <f t="shared" si="0"/>
        <v>#NUM!</v>
      </c>
      <c r="M22" s="19">
        <f t="shared" si="4"/>
        <v>817.93204621478105</v>
      </c>
      <c r="N22">
        <f t="shared" si="9"/>
        <v>-2083.4252600546306</v>
      </c>
    </row>
    <row r="23" spans="1:14" x14ac:dyDescent="0.25">
      <c r="A23" t="s">
        <v>11</v>
      </c>
      <c r="D23" s="3">
        <f t="shared" si="10"/>
        <v>10.473086967590746</v>
      </c>
      <c r="E23">
        <v>22</v>
      </c>
      <c r="F23" s="15">
        <f t="shared" si="5"/>
        <v>318.76641046340961</v>
      </c>
      <c r="G23" s="21">
        <f t="shared" si="6"/>
        <v>356.30554872511436</v>
      </c>
      <c r="H23" s="8">
        <f t="shared" si="7"/>
        <v>356</v>
      </c>
      <c r="I23" s="2">
        <f t="shared" si="8"/>
        <v>-2.9894792800133799E-2</v>
      </c>
      <c r="J23" s="4">
        <f t="shared" si="3"/>
        <v>842.69662921348311</v>
      </c>
      <c r="K23" s="4">
        <f t="shared" si="11"/>
        <v>25.257937115390519</v>
      </c>
      <c r="L23" t="e">
        <f t="shared" si="0"/>
        <v>#NUM!</v>
      </c>
      <c r="M23" s="19">
        <f t="shared" si="4"/>
        <v>841.97397731643673</v>
      </c>
      <c r="N23">
        <f t="shared" si="9"/>
        <v>-1959.1851409495687</v>
      </c>
    </row>
    <row r="24" spans="1:14" x14ac:dyDescent="0.25">
      <c r="A24" t="s">
        <v>12</v>
      </c>
      <c r="D24" s="3">
        <f t="shared" si="10"/>
        <v>9.6266819071818759</v>
      </c>
      <c r="E24">
        <v>23</v>
      </c>
      <c r="F24" s="15">
        <f t="shared" si="5"/>
        <v>311.56852150994916</v>
      </c>
      <c r="G24" s="21">
        <f t="shared" si="6"/>
        <v>346.67886681793249</v>
      </c>
      <c r="H24" s="8">
        <f t="shared" si="7"/>
        <v>347</v>
      </c>
      <c r="I24" s="2">
        <f t="shared" si="8"/>
        <v>-2.8211920900512191E-2</v>
      </c>
      <c r="J24" s="4">
        <f t="shared" si="3"/>
        <v>864.55331412103749</v>
      </c>
      <c r="K24" s="4">
        <f t="shared" si="11"/>
        <v>21.856684907554381</v>
      </c>
      <c r="L24" t="e">
        <f t="shared" si="0"/>
        <v>#NUM!</v>
      </c>
      <c r="M24" s="19">
        <f t="shared" si="4"/>
        <v>865.35416119711988</v>
      </c>
      <c r="N24">
        <f t="shared" si="9"/>
        <v>-1848.8964481359669</v>
      </c>
    </row>
    <row r="25" spans="1:14" x14ac:dyDescent="0.25">
      <c r="A25" t="s">
        <v>24</v>
      </c>
      <c r="D25" s="3">
        <f t="shared" si="10"/>
        <v>8.8881779179167211</v>
      </c>
      <c r="E25">
        <v>24</v>
      </c>
      <c r="F25" s="15">
        <f t="shared" si="5"/>
        <v>304.84730003176361</v>
      </c>
      <c r="G25" s="21">
        <f t="shared" si="6"/>
        <v>337.79068890001577</v>
      </c>
      <c r="H25" s="8">
        <f t="shared" si="7"/>
        <v>338</v>
      </c>
      <c r="I25" s="2">
        <f t="shared" si="8"/>
        <v>-2.6708052599592396E-2</v>
      </c>
      <c r="J25" s="4">
        <f t="shared" si="3"/>
        <v>887.5739644970414</v>
      </c>
      <c r="K25" s="4">
        <f t="shared" si="11"/>
        <v>23.020650376003914</v>
      </c>
      <c r="L25" t="e">
        <f t="shared" si="0"/>
        <v>#NUM!</v>
      </c>
      <c r="M25" s="19">
        <f t="shared" si="4"/>
        <v>888.12394733828319</v>
      </c>
      <c r="N25">
        <f t="shared" si="9"/>
        <v>-1750.3389351668873</v>
      </c>
    </row>
    <row r="26" spans="1:14" x14ac:dyDescent="0.25">
      <c r="A26" t="s">
        <v>13</v>
      </c>
      <c r="D26" s="3">
        <f t="shared" si="10"/>
        <v>8.2392968210099298</v>
      </c>
      <c r="E26">
        <v>25</v>
      </c>
      <c r="F26" s="15">
        <f t="shared" si="5"/>
        <v>298.55173745662682</v>
      </c>
      <c r="G26" s="21">
        <f t="shared" si="6"/>
        <v>329.55139207900584</v>
      </c>
      <c r="H26" s="8">
        <f t="shared" si="7"/>
        <v>330</v>
      </c>
      <c r="I26" s="2">
        <f t="shared" si="8"/>
        <v>-2.5356122112788277E-2</v>
      </c>
      <c r="J26" s="4">
        <f t="shared" si="3"/>
        <v>909.09090909090912</v>
      </c>
      <c r="K26" s="4">
        <f t="shared" si="11"/>
        <v>21.51694459386772</v>
      </c>
      <c r="L26" t="e">
        <f t="shared" si="0"/>
        <v>#NUM!</v>
      </c>
      <c r="M26" s="19">
        <f t="shared" si="4"/>
        <v>910.32842588654194</v>
      </c>
      <c r="N26">
        <f t="shared" si="9"/>
        <v>-1661.7388187836925</v>
      </c>
    </row>
    <row r="27" spans="1:14" x14ac:dyDescent="0.25">
      <c r="A27" t="s">
        <v>14</v>
      </c>
      <c r="D27" s="3">
        <f t="shared" si="10"/>
        <v>7.6655485902668943</v>
      </c>
      <c r="E27">
        <v>26</v>
      </c>
      <c r="F27" s="15">
        <f t="shared" si="5"/>
        <v>292.63821439139014</v>
      </c>
      <c r="G27" s="21">
        <f t="shared" si="6"/>
        <v>321.88584348873894</v>
      </c>
      <c r="H27" s="8">
        <f t="shared" si="7"/>
        <v>322</v>
      </c>
      <c r="I27" s="2">
        <f t="shared" si="8"/>
        <v>-2.4134248893602363E-2</v>
      </c>
      <c r="J27" s="4">
        <f t="shared" si="3"/>
        <v>931.67701863354034</v>
      </c>
      <c r="K27" s="4">
        <f t="shared" si="11"/>
        <v>22.58610954263122</v>
      </c>
      <c r="L27" t="e">
        <f t="shared" si="0"/>
        <v>#NUM!</v>
      </c>
      <c r="M27" s="19">
        <f t="shared" si="4"/>
        <v>932.00743701080285</v>
      </c>
      <c r="N27">
        <f t="shared" si="9"/>
        <v>-1581.6621354911244</v>
      </c>
    </row>
    <row r="28" spans="1:14" x14ac:dyDescent="0.25">
      <c r="A28" t="s">
        <v>15</v>
      </c>
      <c r="D28" s="3">
        <f t="shared" si="10"/>
        <v>7.1553161456183716</v>
      </c>
      <c r="E28">
        <v>27</v>
      </c>
      <c r="F28" s="15">
        <f t="shared" si="5"/>
        <v>287.06917101232699</v>
      </c>
      <c r="G28" s="21">
        <f t="shared" si="6"/>
        <v>314.73052734312057</v>
      </c>
      <c r="H28" s="8">
        <f t="shared" si="7"/>
        <v>315</v>
      </c>
      <c r="I28" s="2">
        <f t="shared" si="8"/>
        <v>-2.3024554719657097E-2</v>
      </c>
      <c r="J28" s="4">
        <f t="shared" si="3"/>
        <v>952.38095238095241</v>
      </c>
      <c r="K28" s="4">
        <f t="shared" si="11"/>
        <v>20.703933747412066</v>
      </c>
      <c r="L28" t="e">
        <f t="shared" si="0"/>
        <v>#NUM!</v>
      </c>
      <c r="M28" s="19">
        <f t="shared" si="4"/>
        <v>953.19638210035691</v>
      </c>
      <c r="N28">
        <f t="shared" si="9"/>
        <v>-1508.9372181074475</v>
      </c>
    </row>
    <row r="29" spans="1:14" x14ac:dyDescent="0.25">
      <c r="A29" s="1" t="s">
        <v>16</v>
      </c>
      <c r="D29" s="3">
        <f t="shared" si="10"/>
        <v>6.6991899047096126</v>
      </c>
      <c r="E29">
        <v>28</v>
      </c>
      <c r="F29" s="15">
        <f t="shared" si="5"/>
        <v>281.81205995427376</v>
      </c>
      <c r="G29" s="21">
        <f t="shared" si="6"/>
        <v>308.03133743841096</v>
      </c>
      <c r="H29" s="8">
        <f t="shared" si="7"/>
        <v>308</v>
      </c>
      <c r="I29" s="2">
        <f t="shared" si="8"/>
        <v>-2.2012289964817505E-2</v>
      </c>
      <c r="J29" s="4">
        <f t="shared" si="3"/>
        <v>974.02597402597405</v>
      </c>
      <c r="K29" s="4">
        <f t="shared" si="11"/>
        <v>21.645021645021643</v>
      </c>
      <c r="L29" t="e">
        <f t="shared" si="0"/>
        <v>#NUM!</v>
      </c>
      <c r="M29" s="19">
        <f t="shared" si="4"/>
        <v>973.9268819036414</v>
      </c>
      <c r="N29">
        <f t="shared" si="9"/>
        <v>-1442.59743513428</v>
      </c>
    </row>
    <row r="30" spans="1:14" x14ac:dyDescent="0.25">
      <c r="A30" t="s">
        <v>17</v>
      </c>
      <c r="D30" s="3">
        <f t="shared" si="10"/>
        <v>6.2894767818793866</v>
      </c>
      <c r="E30">
        <v>29</v>
      </c>
      <c r="F30" s="15">
        <f t="shared" si="5"/>
        <v>276.83851314477852</v>
      </c>
      <c r="G30" s="21">
        <f t="shared" si="6"/>
        <v>301.74186065653157</v>
      </c>
      <c r="H30" s="8">
        <f t="shared" si="7"/>
        <v>302</v>
      </c>
      <c r="I30" s="2">
        <f t="shared" si="8"/>
        <v>-2.1085178854243599E-2</v>
      </c>
      <c r="J30" s="4">
        <f t="shared" si="3"/>
        <v>993.37748344370857</v>
      </c>
      <c r="K30" s="4">
        <f t="shared" si="11"/>
        <v>19.351509417734519</v>
      </c>
      <c r="L30" t="e">
        <f t="shared" si="0"/>
        <v>#NUM!</v>
      </c>
      <c r="M30" s="19">
        <f t="shared" si="4"/>
        <v>994.22731518675721</v>
      </c>
      <c r="N30">
        <f t="shared" si="9"/>
        <v>-1381.8382813917085</v>
      </c>
    </row>
    <row r="31" spans="1:14" x14ac:dyDescent="0.25">
      <c r="A31" t="s">
        <v>18</v>
      </c>
      <c r="D31" s="3">
        <f t="shared" si="10"/>
        <v>5.9198330126387759</v>
      </c>
      <c r="E31">
        <v>30</v>
      </c>
      <c r="F31" s="15">
        <f t="shared" si="5"/>
        <v>272.12367259103019</v>
      </c>
      <c r="G31" s="21">
        <f t="shared" si="6"/>
        <v>295.8220276438928</v>
      </c>
      <c r="H31" s="8">
        <f t="shared" si="7"/>
        <v>296</v>
      </c>
      <c r="I31" s="2">
        <f t="shared" si="8"/>
        <v>-2.0232922327214603E-2</v>
      </c>
      <c r="J31" s="4">
        <f t="shared" si="3"/>
        <v>1013.5135135135135</v>
      </c>
      <c r="K31" s="4">
        <f t="shared" si="11"/>
        <v>20.136030069804974</v>
      </c>
      <c r="L31" t="e">
        <f t="shared" si="0"/>
        <v>#NUM!</v>
      </c>
      <c r="M31" s="19">
        <f t="shared" si="4"/>
        <v>1014.1232631977515</v>
      </c>
      <c r="N31">
        <f t="shared" si="9"/>
        <v>-1325.9847976363362</v>
      </c>
    </row>
    <row r="32" spans="1:14" x14ac:dyDescent="0.25">
      <c r="A32" t="s">
        <v>19</v>
      </c>
      <c r="D32" s="3">
        <f t="shared" si="10"/>
        <v>5.5849861790651403</v>
      </c>
      <c r="E32">
        <v>31</v>
      </c>
      <c r="F32" s="15">
        <f t="shared" si="5"/>
        <v>267.64564817737192</v>
      </c>
      <c r="G32" s="21">
        <f t="shared" si="6"/>
        <v>290.23704146482766</v>
      </c>
      <c r="H32" s="8">
        <f t="shared" si="7"/>
        <v>290</v>
      </c>
      <c r="I32" s="2">
        <f t="shared" si="8"/>
        <v>-1.9446816008743126E-2</v>
      </c>
      <c r="J32" s="4">
        <f t="shared" si="3"/>
        <v>1034.4827586206898</v>
      </c>
      <c r="K32" s="4">
        <f t="shared" si="11"/>
        <v>20.969245107176221</v>
      </c>
      <c r="L32" t="e">
        <f t="shared" si="0"/>
        <v>#NUM!</v>
      </c>
      <c r="M32" s="19">
        <f t="shared" si="4"/>
        <v>1033.6378791828179</v>
      </c>
      <c r="N32">
        <f t="shared" si="9"/>
        <v>-1274.4665339489895</v>
      </c>
    </row>
    <row r="33" spans="1:18" x14ac:dyDescent="0.25">
      <c r="A33" t="s">
        <v>20</v>
      </c>
      <c r="D33" s="3">
        <f t="shared" si="10"/>
        <v>5.2805223715411671</v>
      </c>
      <c r="E33">
        <v>32</v>
      </c>
      <c r="F33" s="15">
        <f t="shared" si="5"/>
        <v>263.38507484092469</v>
      </c>
      <c r="G33" s="21">
        <f t="shared" si="6"/>
        <v>284.95651909328649</v>
      </c>
      <c r="H33" s="8">
        <f t="shared" si="7"/>
        <v>285</v>
      </c>
      <c r="I33" s="2">
        <f t="shared" si="8"/>
        <v>-1.8719453386279131E-2</v>
      </c>
      <c r="J33" s="4">
        <f t="shared" si="3"/>
        <v>1052.6315789473683</v>
      </c>
      <c r="K33" s="4">
        <f t="shared" si="11"/>
        <v>18.14882032667856</v>
      </c>
      <c r="L33" t="e">
        <f t="shared" si="0"/>
        <v>#NUM!</v>
      </c>
      <c r="M33" s="19">
        <f t="shared" si="4"/>
        <v>1052.7921977520673</v>
      </c>
      <c r="N33">
        <f t="shared" si="9"/>
        <v>-1226.7980971231891</v>
      </c>
    </row>
    <row r="34" spans="1:18" x14ac:dyDescent="0.25">
      <c r="D34" s="3">
        <f t="shared" si="10"/>
        <v>5.0027215133420668</v>
      </c>
      <c r="E34">
        <v>33</v>
      </c>
      <c r="F34" s="15">
        <f t="shared" si="5"/>
        <v>259.32474822378839</v>
      </c>
      <c r="G34" s="3">
        <f t="shared" si="6"/>
        <v>279.95379757994442</v>
      </c>
      <c r="H34" s="8">
        <f t="shared" si="7"/>
        <v>280</v>
      </c>
      <c r="I34" s="2">
        <f t="shared" si="8"/>
        <v>-1.8044492838613899E-2</v>
      </c>
      <c r="J34" s="4">
        <f t="shared" si="3"/>
        <v>1071.4285714285713</v>
      </c>
      <c r="K34" s="4">
        <f t="shared" si="11"/>
        <v>18.796992481203006</v>
      </c>
      <c r="L34" t="e">
        <f t="shared" si="0"/>
        <v>#NUM!</v>
      </c>
      <c r="M34" s="19">
        <f t="shared" si="4"/>
        <v>1071.6053955807872</v>
      </c>
      <c r="N34">
        <f t="shared" si="9"/>
        <v>-1182.5638826714005</v>
      </c>
    </row>
    <row r="35" spans="1:18" ht="15.75" thickBot="1" x14ac:dyDescent="0.3">
      <c r="A35" t="s">
        <v>33</v>
      </c>
      <c r="D35" s="3">
        <f t="shared" si="10"/>
        <v>4.7484287120500994</v>
      </c>
      <c r="E35">
        <v>34</v>
      </c>
      <c r="F35" s="15">
        <f t="shared" si="5"/>
        <v>255.44932282721885</v>
      </c>
      <c r="G35" s="3">
        <f t="shared" si="6"/>
        <v>275.20536886789432</v>
      </c>
      <c r="H35" s="9">
        <f t="shared" si="7"/>
        <v>275</v>
      </c>
      <c r="I35" s="2">
        <f t="shared" si="8"/>
        <v>-1.7416473062096108E-2</v>
      </c>
      <c r="J35" s="4">
        <f t="shared" si="3"/>
        <v>1090.909090909091</v>
      </c>
      <c r="K35" s="4">
        <f t="shared" si="11"/>
        <v>19.480519480519661</v>
      </c>
      <c r="L35" t="e">
        <f t="shared" si="0"/>
        <v>#NUM!</v>
      </c>
      <c r="M35" s="19">
        <f t="shared" si="4"/>
        <v>1090.095012441446</v>
      </c>
      <c r="N35">
        <f t="shared" si="9"/>
        <v>-1141.4059785975305</v>
      </c>
    </row>
    <row r="36" spans="1:18" x14ac:dyDescent="0.25">
      <c r="A36" t="s">
        <v>25</v>
      </c>
      <c r="D36" s="3">
        <f t="shared" si="10"/>
        <v>4.5149528504624641</v>
      </c>
      <c r="G36" s="3">
        <f t="shared" si="6"/>
        <v>270.69041601743186</v>
      </c>
      <c r="H36" s="12">
        <f>ROUND(G36,0)</f>
        <v>271</v>
      </c>
      <c r="I36" s="2">
        <f t="shared" si="8"/>
        <v>-1.6830665567491951E-2</v>
      </c>
      <c r="L36" t="e">
        <f t="shared" si="0"/>
        <v>#NUM!</v>
      </c>
      <c r="M36" s="19">
        <f t="shared" si="4"/>
        <v>1108.277139670437</v>
      </c>
      <c r="N36">
        <f t="shared" si="9"/>
        <v>-1103.0144986311525</v>
      </c>
    </row>
    <row r="37" spans="1:18" x14ac:dyDescent="0.25">
      <c r="A37" t="s">
        <v>26</v>
      </c>
      <c r="D37" s="3">
        <f t="shared" si="10"/>
        <v>4.299985979398798</v>
      </c>
      <c r="G37" s="3">
        <f t="shared" si="6"/>
        <v>266.39043003803306</v>
      </c>
      <c r="H37" s="13">
        <f>ROUND(G37,0)</f>
        <v>266</v>
      </c>
      <c r="I37" s="2">
        <f t="shared" si="8"/>
        <v>-1.6282955849708961E-2</v>
      </c>
      <c r="L37" t="e">
        <f t="shared" si="0"/>
        <v>#NUM!</v>
      </c>
      <c r="M37" s="19">
        <f t="shared" si="4"/>
        <v>1126.1665817243077</v>
      </c>
      <c r="N37">
        <f t="shared" si="9"/>
        <v>-1067.1197945665265</v>
      </c>
    </row>
    <row r="38" spans="1:18" x14ac:dyDescent="0.25">
      <c r="G38" s="3">
        <f t="shared" si="6"/>
        <v>262.28889129348903</v>
      </c>
      <c r="H38" s="13">
        <f>ROUND(G38,0)</f>
        <v>262</v>
      </c>
      <c r="I38" s="2">
        <f t="shared" si="8"/>
        <v>-1.5769746936855154E-2</v>
      </c>
      <c r="L38" t="e">
        <f t="shared" si="0"/>
        <v>#NUM!</v>
      </c>
      <c r="M38" s="19">
        <f t="shared" si="4"/>
        <v>1143.7769953601046</v>
      </c>
      <c r="N38">
        <f t="shared" si="9"/>
        <v>-1033.4861352537393</v>
      </c>
    </row>
    <row r="39" spans="1:18" x14ac:dyDescent="0.25">
      <c r="G39" s="3">
        <f t="shared" si="6"/>
        <v>258.37100301348136</v>
      </c>
      <c r="H39" s="8">
        <f>ROUND(G39,0)</f>
        <v>258</v>
      </c>
      <c r="I39" s="2">
        <f t="shared" si="8"/>
        <v>-1.528788055465949E-2</v>
      </c>
      <c r="L39" t="e">
        <f t="shared" si="0"/>
        <v>#NUM!</v>
      </c>
      <c r="M39" s="19">
        <f t="shared" si="4"/>
        <v>1161.1210101016891</v>
      </c>
      <c r="N39">
        <f t="shared" si="9"/>
        <v>-1001.9065400301644</v>
      </c>
    </row>
    <row r="40" spans="1:18" x14ac:dyDescent="0.25">
      <c r="G40" s="3">
        <f t="shared" si="6"/>
        <v>254.62346713946161</v>
      </c>
      <c r="H40" s="8">
        <f t="shared" ref="H40:H53" si="12">ROUND(G40,0)</f>
        <v>255</v>
      </c>
      <c r="I40" s="2">
        <f t="shared" si="8"/>
        <v>-1.4834572266264976E-2</v>
      </c>
      <c r="L40" t="str">
        <f t="shared" si="0"/>
        <v>0xFE9F9B8A,</v>
      </c>
      <c r="M40" s="19">
        <f t="shared" si="4"/>
        <v>1178.2103329685826</v>
      </c>
      <c r="N40">
        <f t="shared" si="9"/>
        <v>-972.19852804194147</v>
      </c>
    </row>
    <row r="41" spans="1:18" x14ac:dyDescent="0.25">
      <c r="G41" s="3">
        <f t="shared" si="6"/>
        <v>251.03429478627675</v>
      </c>
      <c r="H41" s="8">
        <f t="shared" si="12"/>
        <v>251</v>
      </c>
      <c r="I41" s="2">
        <f t="shared" si="8"/>
        <v>-1.4407357781804552E-2</v>
      </c>
      <c r="L41" t="str">
        <f t="shared" si="0"/>
        <v>0xFB08C78B,</v>
      </c>
      <c r="M41" s="19">
        <f t="shared" si="4"/>
        <v>1195.0558399019194</v>
      </c>
      <c r="N41">
        <f t="shared" si="9"/>
        <v>-944.20059958834315</v>
      </c>
      <c r="Q41">
        <v>1.1000000000000001</v>
      </c>
      <c r="R41" s="16">
        <f xml:space="preserve"> -66.667*POWER(Q41,3) + 500*POWER(Q41,2) - 833.33*Q41</f>
        <v>-400.39677700000004</v>
      </c>
    </row>
    <row r="42" spans="1:18" x14ac:dyDescent="0.25">
      <c r="E42" s="3"/>
      <c r="F42" s="3"/>
      <c r="G42" s="3">
        <f t="shared" si="6"/>
        <v>247.59264517919706</v>
      </c>
      <c r="H42" s="8">
        <f t="shared" si="12"/>
        <v>248</v>
      </c>
      <c r="I42" s="2">
        <f t="shared" si="8"/>
        <v>-1.400404825752073E-2</v>
      </c>
      <c r="L42" t="str">
        <f t="shared" si="0"/>
        <v>0xF797B798,</v>
      </c>
      <c r="M42" s="19">
        <f t="shared" si="4"/>
        <v>1211.6676558904758</v>
      </c>
      <c r="N42">
        <f t="shared" si="9"/>
        <v>-917.76930660487858</v>
      </c>
      <c r="Q42">
        <v>1.2</v>
      </c>
      <c r="R42" s="16">
        <f t="shared" ref="R42:R70" si="13" xml:space="preserve"> -66.667*POWER(Q42,3) + 500*POWER(Q42,2) - 833.33*Q42</f>
        <v>-395.19657599999994</v>
      </c>
    </row>
    <row r="43" spans="1:18" x14ac:dyDescent="0.25">
      <c r="E43" s="3"/>
      <c r="F43" s="3"/>
      <c r="G43" s="3">
        <f t="shared" si="6"/>
        <v>244.28868814848005</v>
      </c>
      <c r="H43" s="8">
        <f t="shared" si="12"/>
        <v>244</v>
      </c>
      <c r="I43" s="2">
        <f t="shared" si="8"/>
        <v>-1.3622692877073728E-2</v>
      </c>
      <c r="L43" t="str">
        <f t="shared" si="0"/>
        <v>0xF449E777,</v>
      </c>
      <c r="M43" s="19">
        <f t="shared" si="4"/>
        <v>1228.0552254538218</v>
      </c>
      <c r="N43">
        <f t="shared" si="9"/>
        <v>-892.77680039190386</v>
      </c>
      <c r="Q43">
        <v>1.3</v>
      </c>
      <c r="R43" s="16">
        <f t="shared" si="13"/>
        <v>-384.79639900000006</v>
      </c>
    </row>
    <row r="44" spans="1:18" x14ac:dyDescent="0.25">
      <c r="E44" s="3"/>
      <c r="F44" s="3"/>
      <c r="G44" s="3">
        <f t="shared" si="6"/>
        <v>241.1134862175771</v>
      </c>
      <c r="H44" s="8">
        <f t="shared" si="12"/>
        <v>241</v>
      </c>
      <c r="I44" s="2">
        <f t="shared" si="8"/>
        <v>-1.3261547368290076E-2</v>
      </c>
      <c r="L44" t="str">
        <f t="shared" si="0"/>
        <v>0xF11D0D6E,</v>
      </c>
      <c r="M44" s="19">
        <f t="shared" si="4"/>
        <v>1244.2273748606688</v>
      </c>
      <c r="N44">
        <f t="shared" si="9"/>
        <v>-869.10876832825841</v>
      </c>
      <c r="Q44">
        <v>1.4</v>
      </c>
      <c r="R44" s="16">
        <f t="shared" si="13"/>
        <v>-369.59624800000006</v>
      </c>
    </row>
    <row r="45" spans="1:18" x14ac:dyDescent="0.25">
      <c r="E45" s="3"/>
      <c r="F45" s="3"/>
      <c r="G45" s="3">
        <f t="shared" si="6"/>
        <v>238.05889307076711</v>
      </c>
      <c r="H45" s="8">
        <f t="shared" si="12"/>
        <v>238</v>
      </c>
      <c r="I45" s="2">
        <f t="shared" si="8"/>
        <v>-1.2919047385776388E-2</v>
      </c>
      <c r="L45" t="str">
        <f t="shared" si="0"/>
        <v>0xEE0F139D,</v>
      </c>
      <c r="M45" s="19">
        <f t="shared" si="4"/>
        <v>1260.1923672341861</v>
      </c>
      <c r="N45">
        <f>I45*65536</f>
        <v>-846.66268947424135</v>
      </c>
      <c r="Q45">
        <v>1.5</v>
      </c>
      <c r="R45" s="16">
        <f t="shared" si="13"/>
        <v>-349.99612500000012</v>
      </c>
    </row>
    <row r="46" spans="1:18" x14ac:dyDescent="0.25">
      <c r="E46" s="3"/>
      <c r="F46" s="3"/>
      <c r="G46" s="3">
        <f t="shared" si="6"/>
        <v>235.11746577904282</v>
      </c>
      <c r="H46" s="8">
        <f t="shared" si="12"/>
        <v>235</v>
      </c>
      <c r="I46" s="2">
        <f t="shared" si="8"/>
        <v>-1.2593785904461984E-2</v>
      </c>
      <c r="L46" t="str">
        <f t="shared" si="0"/>
        <v>0xEB1E123C,</v>
      </c>
      <c r="M46" s="19">
        <f t="shared" si="4"/>
        <v>1275.9579515114885</v>
      </c>
      <c r="N46">
        <f t="shared" ref="N46:N70" si="14">I46*65536</f>
        <v>-825.34635303482059</v>
      </c>
      <c r="Q46">
        <v>1.6</v>
      </c>
      <c r="R46" s="16">
        <f t="shared" si="13"/>
        <v>-326.3960320000001</v>
      </c>
    </row>
    <row r="47" spans="1:18" x14ac:dyDescent="0.25">
      <c r="E47" s="3"/>
      <c r="F47" s="3"/>
      <c r="G47" s="3">
        <f t="shared" si="6"/>
        <v>232.28238863516225</v>
      </c>
      <c r="H47" s="8">
        <f t="shared" si="12"/>
        <v>232</v>
      </c>
      <c r="I47" s="2">
        <f t="shared" si="8"/>
        <v>-1.2284493936524305E-2</v>
      </c>
      <c r="L47" t="str">
        <f t="shared" si="0"/>
        <v>0xE8484A9F,</v>
      </c>
      <c r="M47" s="19">
        <f t="shared" si="4"/>
        <v>1291.5314060731457</v>
      </c>
      <c r="N47">
        <f t="shared" si="14"/>
        <v>-805.07659462405684</v>
      </c>
      <c r="Q47">
        <v>1.7</v>
      </c>
      <c r="R47" s="16">
        <f t="shared" si="13"/>
        <v>-299.19597100000033</v>
      </c>
    </row>
    <row r="48" spans="1:18" x14ac:dyDescent="0.25">
      <c r="E48" s="3"/>
      <c r="F48" s="3"/>
      <c r="G48" s="3">
        <f t="shared" si="6"/>
        <v>229.54740682681577</v>
      </c>
      <c r="H48" s="8">
        <f t="shared" si="12"/>
        <v>230</v>
      </c>
      <c r="I48" s="2">
        <f t="shared" si="8"/>
        <v>-1.1990024015568122E-2</v>
      </c>
      <c r="L48" t="str">
        <f t="shared" si="0"/>
        <v>0xE58C22DA,</v>
      </c>
      <c r="M48" s="19">
        <f t="shared" si="4"/>
        <v>1306.9195777338398</v>
      </c>
      <c r="N48">
        <f t="shared" si="14"/>
        <v>-785.77821388427242</v>
      </c>
      <c r="Q48">
        <v>1.8</v>
      </c>
      <c r="R48" s="16">
        <f t="shared" si="13"/>
        <v>-268.79594400000019</v>
      </c>
    </row>
    <row r="49" spans="5:18" x14ac:dyDescent="0.25">
      <c r="E49" s="3"/>
      <c r="F49" s="3"/>
      <c r="G49" s="3">
        <f t="shared" ref="G49:G112" si="15">G48*(1+I49+1.5*I49*I49)</f>
        <v>226.90676848129942</v>
      </c>
      <c r="H49" s="8">
        <f t="shared" si="12"/>
        <v>227</v>
      </c>
      <c r="I49" s="2">
        <f t="shared" ref="I49:I112" si="16">-1*$B$22*G48*G48</f>
        <v>-1.1709335995759037E-2</v>
      </c>
      <c r="L49" t="str">
        <f t="shared" ref="L49:L53" si="17">CONCATENATE("0x",DEC2HEX(G49*POWER(2,24),8),",")</f>
        <v>0xE2E821FA,</v>
      </c>
      <c r="M49" s="19">
        <f t="shared" ref="M49:M53" si="18">$B$12/G49</f>
        <v>1322.1289166820275</v>
      </c>
      <c r="N49">
        <f t="shared" si="14"/>
        <v>-767.38304381806427</v>
      </c>
      <c r="Q49">
        <v>1.9</v>
      </c>
      <c r="R49" s="16">
        <f t="shared" si="13"/>
        <v>-235.59595300000001</v>
      </c>
    </row>
    <row r="50" spans="5:18" x14ac:dyDescent="0.25">
      <c r="E50" s="3"/>
      <c r="F50" s="3"/>
      <c r="G50" s="3">
        <f t="shared" si="15"/>
        <v>224.35517386157449</v>
      </c>
      <c r="H50" s="8">
        <f t="shared" si="12"/>
        <v>224</v>
      </c>
      <c r="I50" s="2">
        <f t="shared" si="16"/>
        <v>-1.1441484796139115E-2</v>
      </c>
      <c r="L50" t="str">
        <f t="shared" si="17"/>
        <v>0xE05AECAC,</v>
      </c>
      <c r="M50" s="19">
        <f t="shared" si="18"/>
        <v>1337.1655078705598</v>
      </c>
      <c r="N50">
        <f t="shared" si="14"/>
        <v>-749.82914759977302</v>
      </c>
      <c r="Q50">
        <v>2</v>
      </c>
      <c r="R50" s="16">
        <f t="shared" si="13"/>
        <v>-199.99600000000009</v>
      </c>
    </row>
    <row r="51" spans="5:18" x14ac:dyDescent="0.25">
      <c r="E51" s="3"/>
      <c r="F51" s="3"/>
      <c r="G51" s="3">
        <f t="shared" si="15"/>
        <v>221.88773069418372</v>
      </c>
      <c r="H51" s="8">
        <f t="shared" si="12"/>
        <v>222</v>
      </c>
      <c r="I51" s="2">
        <f t="shared" si="16"/>
        <v>-1.1185609786323847E-2</v>
      </c>
      <c r="L51" t="str">
        <f t="shared" si="17"/>
        <v>0xDDE34251,</v>
      </c>
      <c r="M51" s="19">
        <f t="shared" si="18"/>
        <v>1352.0350992884521</v>
      </c>
      <c r="N51">
        <f t="shared" si="14"/>
        <v>-733.06012295651965</v>
      </c>
      <c r="Q51">
        <v>2.1</v>
      </c>
      <c r="R51" s="16">
        <f t="shared" si="13"/>
        <v>-162.39608700000031</v>
      </c>
    </row>
    <row r="52" spans="5:18" x14ac:dyDescent="0.25">
      <c r="E52" s="3"/>
      <c r="F52" s="3"/>
      <c r="G52" s="3">
        <f t="shared" si="15"/>
        <v>219.49991477352964</v>
      </c>
      <c r="H52" s="8">
        <f t="shared" si="12"/>
        <v>219</v>
      </c>
      <c r="I52" s="2">
        <f t="shared" si="16"/>
        <v>-1.0940925562803244E-2</v>
      </c>
      <c r="L52" t="str">
        <f t="shared" si="17"/>
        <v>0xDB7FFA6A,</v>
      </c>
      <c r="M52" s="19">
        <f t="shared" si="18"/>
        <v>1366.7431274837934</v>
      </c>
      <c r="N52">
        <f t="shared" si="14"/>
        <v>-717.02449768387339</v>
      </c>
      <c r="Q52">
        <v>2.2000000000000002</v>
      </c>
      <c r="R52" s="16">
        <f t="shared" si="13"/>
        <v>-123.19621600000005</v>
      </c>
    </row>
    <row r="53" spans="5:18" ht="15.75" thickBot="1" x14ac:dyDescent="0.3">
      <c r="E53" s="3"/>
      <c r="F53" s="3"/>
      <c r="G53" s="3">
        <f t="shared" si="15"/>
        <v>217.18753512178537</v>
      </c>
      <c r="H53" s="8">
        <f t="shared" si="12"/>
        <v>217</v>
      </c>
      <c r="I53" s="2">
        <f t="shared" si="16"/>
        <v>-1.0706713907908172E-2</v>
      </c>
      <c r="L53" t="str">
        <f t="shared" si="17"/>
        <v>0xD930024D,</v>
      </c>
      <c r="M53" s="19">
        <f t="shared" si="18"/>
        <v>1381.2947406570938</v>
      </c>
      <c r="N53">
        <f t="shared" si="14"/>
        <v>-701.67520266866995</v>
      </c>
      <c r="Q53">
        <v>2.2999999999999998</v>
      </c>
      <c r="R53" s="16">
        <f t="shared" si="13"/>
        <v>-82.79638900000009</v>
      </c>
    </row>
    <row r="54" spans="5:18" x14ac:dyDescent="0.25">
      <c r="E54" s="3"/>
      <c r="F54" s="3"/>
      <c r="G54" s="3">
        <f t="shared" si="15"/>
        <v>214.9467030949196</v>
      </c>
      <c r="H54" s="12">
        <f>ROUND(G54,0)</f>
        <v>215</v>
      </c>
      <c r="I54" s="2">
        <f t="shared" si="16"/>
        <v>-1.0482316758283722E-2</v>
      </c>
      <c r="N54">
        <f t="shared" si="14"/>
        <v>-686.96911107088204</v>
      </c>
      <c r="Q54">
        <v>2.4</v>
      </c>
      <c r="R54" s="16">
        <f t="shared" si="13"/>
        <v>-41.59660800000006</v>
      </c>
    </row>
    <row r="55" spans="5:18" x14ac:dyDescent="0.25">
      <c r="E55" s="3"/>
      <c r="F55" s="3"/>
      <c r="G55" s="3">
        <f t="shared" si="15"/>
        <v>212.77380491747817</v>
      </c>
      <c r="H55" s="13">
        <f>ROUND(G55,0)</f>
        <v>213</v>
      </c>
      <c r="I55" s="2">
        <f t="shared" si="16"/>
        <v>-1.0267130038083449E-2</v>
      </c>
      <c r="N55">
        <f t="shared" si="14"/>
        <v>-672.86663417583691</v>
      </c>
      <c r="Q55">
        <v>2.5</v>
      </c>
      <c r="R55" s="16">
        <f t="shared" si="13"/>
        <v>3.1249999997271516E-3</v>
      </c>
    </row>
    <row r="56" spans="5:18" x14ac:dyDescent="0.25">
      <c r="E56" s="3"/>
      <c r="F56" s="3"/>
      <c r="G56" s="3">
        <f t="shared" si="15"/>
        <v>210.66547720545293</v>
      </c>
      <c r="H56" s="13">
        <f>ROUND(G56,0)</f>
        <v>211</v>
      </c>
      <c r="I56" s="2">
        <f t="shared" si="16"/>
        <v>-1.0060598235346902E-2</v>
      </c>
      <c r="N56">
        <f t="shared" si="14"/>
        <v>-659.33136595169458</v>
      </c>
      <c r="Q56">
        <v>2.6</v>
      </c>
      <c r="R56" s="16">
        <f t="shared" si="13"/>
        <v>41.602807999999641</v>
      </c>
    </row>
    <row r="57" spans="5:18" x14ac:dyDescent="0.25">
      <c r="E57" s="3"/>
      <c r="F57" s="3"/>
      <c r="G57" s="3">
        <f t="shared" si="15"/>
        <v>208.61858510062589</v>
      </c>
      <c r="H57" s="8">
        <f>ROUND(G57,0)</f>
        <v>209</v>
      </c>
      <c r="I57" s="2">
        <f t="shared" si="16"/>
        <v>-9.8622096191558241E-3</v>
      </c>
      <c r="N57">
        <f t="shared" si="14"/>
        <v>-646.32976960099609</v>
      </c>
      <c r="Q57">
        <v>2.7</v>
      </c>
      <c r="R57" s="16">
        <f t="shared" si="13"/>
        <v>82.802438999999595</v>
      </c>
    </row>
    <row r="58" spans="5:18" x14ac:dyDescent="0.25">
      <c r="E58" s="3"/>
      <c r="F58" s="3"/>
      <c r="G58" s="3">
        <f t="shared" si="15"/>
        <v>206.63020269348732</v>
      </c>
      <c r="H58" s="8">
        <f t="shared" ref="H58:H111" si="19">ROUND(G58,0)</f>
        <v>207</v>
      </c>
      <c r="I58" s="2">
        <f t="shared" si="16"/>
        <v>-9.6714920109749088E-3</v>
      </c>
      <c r="N58">
        <f t="shared" si="14"/>
        <v>-633.83090043125162</v>
      </c>
      <c r="Q58">
        <v>2.8</v>
      </c>
      <c r="R58" s="16">
        <f t="shared" si="13"/>
        <v>123.20201599999973</v>
      </c>
    </row>
    <row r="59" spans="5:18" x14ac:dyDescent="0.25">
      <c r="E59" s="3"/>
      <c r="F59" s="3"/>
      <c r="G59" s="3">
        <f t="shared" si="15"/>
        <v>204.69759545701831</v>
      </c>
      <c r="H59" s="8">
        <f t="shared" si="19"/>
        <v>205</v>
      </c>
      <c r="I59" s="2">
        <f t="shared" si="16"/>
        <v>-9.4880090367003671E-3</v>
      </c>
      <c r="N59">
        <f t="shared" si="14"/>
        <v>-621.80616022919526</v>
      </c>
      <c r="Q59">
        <v>2.9</v>
      </c>
      <c r="R59" s="16">
        <f t="shared" si="13"/>
        <v>162.40153699999973</v>
      </c>
    </row>
    <row r="60" spans="5:18" x14ac:dyDescent="0.25">
      <c r="E60" s="3"/>
      <c r="F60" s="3"/>
      <c r="G60" s="3">
        <f t="shared" si="15"/>
        <v>202.81820445178789</v>
      </c>
      <c r="H60" s="8">
        <f t="shared" si="19"/>
        <v>203</v>
      </c>
      <c r="I60" s="2">
        <f t="shared" si="16"/>
        <v>-9.3113567968633598E-3</v>
      </c>
      <c r="N60">
        <f t="shared" si="14"/>
        <v>-610.22907903923715</v>
      </c>
      <c r="Q60">
        <v>3</v>
      </c>
      <c r="R60" s="16">
        <f t="shared" si="13"/>
        <v>200.00099999999975</v>
      </c>
    </row>
    <row r="61" spans="5:18" x14ac:dyDescent="0.25">
      <c r="E61" s="3"/>
      <c r="F61" s="3"/>
      <c r="G61" s="3">
        <f t="shared" si="15"/>
        <v>200.98963209513937</v>
      </c>
      <c r="H61" s="8">
        <f t="shared" si="19"/>
        <v>201</v>
      </c>
      <c r="I61" s="2">
        <f t="shared" si="16"/>
        <v>-9.1411609015660516E-3</v>
      </c>
      <c r="N61">
        <f t="shared" si="14"/>
        <v>-599.07512084503276</v>
      </c>
      <c r="Q61">
        <v>3.1</v>
      </c>
      <c r="R61" s="16">
        <f t="shared" si="13"/>
        <v>235.60040300000037</v>
      </c>
    </row>
    <row r="62" spans="5:18" x14ac:dyDescent="0.25">
      <c r="E62" s="3"/>
      <c r="F62" s="3"/>
      <c r="G62" s="3">
        <f t="shared" si="15"/>
        <v>199.20962931471041</v>
      </c>
      <c r="H62" s="8">
        <f t="shared" si="19"/>
        <v>199</v>
      </c>
      <c r="I62" s="2">
        <f t="shared" si="16"/>
        <v>-8.9770738243865507E-3</v>
      </c>
      <c r="N62">
        <f t="shared" si="14"/>
        <v>-588.32151015499699</v>
      </c>
      <c r="Q62">
        <v>3.2</v>
      </c>
      <c r="R62" s="16">
        <f t="shared" si="13"/>
        <v>268.79974399999992</v>
      </c>
    </row>
    <row r="63" spans="5:18" x14ac:dyDescent="0.25">
      <c r="E63" s="3"/>
      <c r="F63" s="3"/>
      <c r="G63" s="3">
        <f t="shared" si="15"/>
        <v>197.47608392994803</v>
      </c>
      <c r="H63" s="8">
        <f t="shared" si="19"/>
        <v>197</v>
      </c>
      <c r="I63" s="2">
        <f t="shared" si="16"/>
        <v>-8.818772535934296E-3</v>
      </c>
      <c r="N63">
        <f t="shared" si="14"/>
        <v>-577.94707691499002</v>
      </c>
      <c r="Q63">
        <v>3.3</v>
      </c>
      <c r="R63" s="16">
        <f t="shared" si="13"/>
        <v>299.19902099999899</v>
      </c>
    </row>
    <row r="64" spans="5:18" x14ac:dyDescent="0.25">
      <c r="E64" s="3"/>
      <c r="F64" s="3"/>
      <c r="G64" s="3">
        <f t="shared" si="15"/>
        <v>195.78701012529817</v>
      </c>
      <c r="H64" s="8">
        <f t="shared" si="19"/>
        <v>196</v>
      </c>
      <c r="I64" s="2">
        <f t="shared" si="16"/>
        <v>-8.6659563831795287E-3</v>
      </c>
      <c r="N64">
        <f t="shared" si="14"/>
        <v>-567.9321175280536</v>
      </c>
      <c r="Q64">
        <v>3.4</v>
      </c>
      <c r="R64" s="16">
        <f t="shared" si="13"/>
        <v>326.3982319999991</v>
      </c>
    </row>
    <row r="65" spans="5:18" x14ac:dyDescent="0.25">
      <c r="E65" s="3"/>
      <c r="F65" s="3"/>
      <c r="G65" s="3">
        <f t="shared" si="15"/>
        <v>194.14053889591329</v>
      </c>
      <c r="H65" s="8">
        <f t="shared" si="19"/>
        <v>194</v>
      </c>
      <c r="I65" s="2">
        <f t="shared" si="16"/>
        <v>-8.5183451852896899E-3</v>
      </c>
      <c r="N65">
        <f t="shared" si="14"/>
        <v>-558.25827006314512</v>
      </c>
      <c r="Q65">
        <v>3.5</v>
      </c>
      <c r="R65" s="16">
        <f t="shared" si="13"/>
        <v>349.99737499999992</v>
      </c>
    </row>
    <row r="66" spans="5:18" x14ac:dyDescent="0.25">
      <c r="E66" s="3"/>
      <c r="F66" s="3"/>
      <c r="G66" s="3">
        <f t="shared" si="15"/>
        <v>192.53490936147639</v>
      </c>
      <c r="H66" s="8">
        <f t="shared" si="19"/>
        <v>193</v>
      </c>
      <c r="I66" s="2">
        <f t="shared" si="16"/>
        <v>-8.375677520621249E-3</v>
      </c>
      <c r="N66">
        <f t="shared" si="14"/>
        <v>-548.90840199143418</v>
      </c>
      <c r="Q66">
        <v>3.6</v>
      </c>
      <c r="R66" s="16">
        <f t="shared" si="13"/>
        <v>369.59644799999933</v>
      </c>
    </row>
    <row r="67" spans="5:18" x14ac:dyDescent="0.25">
      <c r="E67" s="3"/>
      <c r="F67" s="3"/>
      <c r="G67" s="3">
        <f t="shared" si="15"/>
        <v>190.9684608564589</v>
      </c>
      <c r="H67" s="8">
        <f t="shared" si="19"/>
        <v>191</v>
      </c>
      <c r="I67" s="2">
        <f t="shared" si="16"/>
        <v>-8.2377091828515405E-3</v>
      </c>
      <c r="N67">
        <f t="shared" si="14"/>
        <v>-539.86650900735856</v>
      </c>
      <c r="Q67">
        <v>3.7</v>
      </c>
      <c r="R67" s="16">
        <f t="shared" si="13"/>
        <v>384.79544900000019</v>
      </c>
    </row>
    <row r="68" spans="5:18" x14ac:dyDescent="0.25">
      <c r="E68" s="3"/>
      <c r="F68" s="3"/>
      <c r="G68" s="3">
        <f t="shared" si="15"/>
        <v>189.4396257161205</v>
      </c>
      <c r="H68" s="8">
        <f t="shared" si="19"/>
        <v>189</v>
      </c>
      <c r="I68" s="2">
        <f t="shared" si="16"/>
        <v>-8.104211787085527E-3</v>
      </c>
      <c r="N68">
        <f t="shared" si="14"/>
        <v>-531.1176236784371</v>
      </c>
      <c r="Q68">
        <v>3.8</v>
      </c>
      <c r="R68" s="16">
        <f t="shared" si="13"/>
        <v>395.19437600000037</v>
      </c>
    </row>
    <row r="69" spans="5:18" x14ac:dyDescent="0.25">
      <c r="E69" s="3"/>
      <c r="F69" s="3"/>
      <c r="G69" s="3">
        <f t="shared" si="15"/>
        <v>187.94692268708141</v>
      </c>
      <c r="H69" s="8">
        <f t="shared" si="19"/>
        <v>188</v>
      </c>
      <c r="I69" s="2">
        <f t="shared" si="16"/>
        <v>-7.9749715092141838E-3</v>
      </c>
      <c r="N69">
        <f t="shared" si="14"/>
        <v>-522.64773282786075</v>
      </c>
      <c r="Q69">
        <v>3.9</v>
      </c>
      <c r="R69" s="16">
        <f t="shared" si="13"/>
        <v>400.39322699999911</v>
      </c>
    </row>
    <row r="70" spans="5:18" x14ac:dyDescent="0.25">
      <c r="E70" s="3"/>
      <c r="F70" s="3"/>
      <c r="G70" s="3">
        <f t="shared" si="15"/>
        <v>186.488950899565</v>
      </c>
      <c r="H70" s="8">
        <f t="shared" si="19"/>
        <v>186</v>
      </c>
      <c r="I70" s="2">
        <f t="shared" si="16"/>
        <v>-7.8497879438986125E-3</v>
      </c>
      <c r="N70">
        <f t="shared" si="14"/>
        <v>-514.44370269133947</v>
      </c>
      <c r="Q70">
        <v>4</v>
      </c>
      <c r="R70" s="16">
        <f t="shared" si="13"/>
        <v>399.99199999999973</v>
      </c>
    </row>
    <row r="71" spans="5:18" x14ac:dyDescent="0.25">
      <c r="E71" s="3"/>
      <c r="F71" s="3"/>
      <c r="G71" s="3">
        <f t="shared" si="15"/>
        <v>185.06438434560565</v>
      </c>
      <c r="H71" s="8">
        <f t="shared" si="19"/>
        <v>185</v>
      </c>
      <c r="I71" s="2">
        <f t="shared" si="16"/>
        <v>-7.7284730683600802E-3</v>
      </c>
      <c r="Q71">
        <v>4.0999999999999996</v>
      </c>
      <c r="R71" s="16">
        <f t="shared" ref="R71:R86" si="20" xml:space="preserve"> -66.667*POWER(Q71,3) + 500*POWER(Q71,2) - 833.33*Q71</f>
        <v>393.59069300000056</v>
      </c>
    </row>
    <row r="72" spans="5:18" x14ac:dyDescent="0.25">
      <c r="E72" s="3"/>
      <c r="F72" s="3"/>
      <c r="G72" s="3">
        <f t="shared" si="15"/>
        <v>183.6719668137944</v>
      </c>
      <c r="H72" s="8">
        <f t="shared" si="19"/>
        <v>184</v>
      </c>
      <c r="I72" s="2">
        <f t="shared" si="16"/>
        <v>-7.6108503007151218E-3</v>
      </c>
      <c r="Q72">
        <v>4.2</v>
      </c>
      <c r="R72" s="16">
        <f t="shared" si="20"/>
        <v>380.78930399999945</v>
      </c>
    </row>
    <row r="73" spans="5:18" x14ac:dyDescent="0.25">
      <c r="E73" s="3"/>
      <c r="F73" s="3"/>
      <c r="G73" s="3">
        <f t="shared" si="15"/>
        <v>182.31050723662219</v>
      </c>
      <c r="H73" s="8">
        <f t="shared" si="19"/>
        <v>182</v>
      </c>
      <c r="I73" s="2">
        <f t="shared" si="16"/>
        <v>-7.4967536429439091E-3</v>
      </c>
      <c r="Q73">
        <v>4.3</v>
      </c>
      <c r="R73" s="16">
        <f t="shared" si="20"/>
        <v>361.18783100000064</v>
      </c>
    </row>
    <row r="74" spans="5:18" x14ac:dyDescent="0.25">
      <c r="E74" s="3"/>
      <c r="F74" s="3"/>
      <c r="G74" s="3">
        <f t="shared" si="15"/>
        <v>180.9788754112889</v>
      </c>
      <c r="H74" s="8">
        <f t="shared" si="19"/>
        <v>181</v>
      </c>
      <c r="I74" s="2">
        <f t="shared" si="16"/>
        <v>-7.3860268997498818E-3</v>
      </c>
      <c r="Q74">
        <v>4.4000000000000004</v>
      </c>
      <c r="R74" s="16">
        <f t="shared" si="20"/>
        <v>334.38627199999928</v>
      </c>
    </row>
    <row r="75" spans="5:18" x14ac:dyDescent="0.25">
      <c r="E75" s="3"/>
      <c r="F75" s="3"/>
      <c r="G75" s="3">
        <f t="shared" si="15"/>
        <v>179.67599805906545</v>
      </c>
      <c r="H75" s="8">
        <f t="shared" si="19"/>
        <v>180</v>
      </c>
      <c r="I75" s="2">
        <f t="shared" si="16"/>
        <v>-7.2785229655855177E-3</v>
      </c>
      <c r="Q75">
        <v>4.5</v>
      </c>
      <c r="R75" s="16">
        <f t="shared" si="20"/>
        <v>299.9846249999996</v>
      </c>
    </row>
    <row r="76" spans="5:18" x14ac:dyDescent="0.25">
      <c r="E76" s="3"/>
      <c r="F76" s="3"/>
      <c r="G76" s="3">
        <f t="shared" si="15"/>
        <v>178.40085519200866</v>
      </c>
      <c r="H76" s="8">
        <f t="shared" si="19"/>
        <v>178</v>
      </c>
      <c r="I76" s="2">
        <f t="shared" si="16"/>
        <v>-7.1741031730047306E-3</v>
      </c>
      <c r="Q76">
        <v>4.5999999999999996</v>
      </c>
      <c r="R76" s="16">
        <f t="shared" si="20"/>
        <v>257.58288800000037</v>
      </c>
    </row>
    <row r="77" spans="5:18" x14ac:dyDescent="0.25">
      <c r="E77" s="3"/>
      <c r="F77" s="3"/>
      <c r="G77" s="3">
        <f t="shared" si="15"/>
        <v>177.1524767590991</v>
      </c>
      <c r="H77" s="8">
        <f t="shared" si="19"/>
        <v>177</v>
      </c>
      <c r="I77" s="2">
        <f t="shared" si="16"/>
        <v>-7.072636696275566E-3</v>
      </c>
      <c r="Q77">
        <v>4.7</v>
      </c>
      <c r="R77" s="16">
        <f t="shared" si="20"/>
        <v>206.78105899999946</v>
      </c>
    </row>
    <row r="78" spans="5:18" x14ac:dyDescent="0.25">
      <c r="E78" s="3"/>
      <c r="F78" s="3"/>
      <c r="G78" s="3">
        <f t="shared" si="15"/>
        <v>175.92993954675978</v>
      </c>
      <c r="H78" s="8">
        <f t="shared" si="19"/>
        <v>176</v>
      </c>
      <c r="I78" s="2">
        <f t="shared" si="16"/>
        <v>-6.9740000048629219E-3</v>
      </c>
      <c r="Q78">
        <v>4.8</v>
      </c>
      <c r="R78" s="16">
        <f t="shared" si="20"/>
        <v>147.1791360000002</v>
      </c>
    </row>
    <row r="79" spans="5:18" x14ac:dyDescent="0.25">
      <c r="E79" s="3"/>
      <c r="F79" s="3"/>
      <c r="G79" s="3">
        <f t="shared" si="15"/>
        <v>174.7323643112675</v>
      </c>
      <c r="H79" s="8">
        <f t="shared" si="19"/>
        <v>175</v>
      </c>
      <c r="I79" s="2">
        <f t="shared" si="16"/>
        <v>-6.8780763619836777E-3</v>
      </c>
      <c r="Q79">
        <v>4.9000000000000004</v>
      </c>
      <c r="R79" s="16">
        <f t="shared" si="20"/>
        <v>78.377116999999544</v>
      </c>
    </row>
    <row r="80" spans="5:18" x14ac:dyDescent="0.25">
      <c r="E80" s="3"/>
      <c r="F80" s="3"/>
      <c r="G80" s="3">
        <f t="shared" si="15"/>
        <v>173.55891312283134</v>
      </c>
      <c r="H80" s="8">
        <f t="shared" si="19"/>
        <v>174</v>
      </c>
      <c r="I80" s="2">
        <f t="shared" si="16"/>
        <v>-6.7847553639567805E-3</v>
      </c>
      <c r="Q80">
        <v>5</v>
      </c>
      <c r="R80" s="16">
        <f t="shared" si="20"/>
        <v>-2.5000000000545697E-2</v>
      </c>
    </row>
    <row r="81" spans="5:18" x14ac:dyDescent="0.25">
      <c r="E81" s="3"/>
      <c r="F81" s="3"/>
      <c r="G81" s="3">
        <f t="shared" si="15"/>
        <v>172.40878690312104</v>
      </c>
      <c r="H81" s="8">
        <f t="shared" si="19"/>
        <v>172</v>
      </c>
      <c r="I81" s="2">
        <f t="shared" si="16"/>
        <v>-6.6939325165285592E-3</v>
      </c>
      <c r="Q81">
        <v>5.0999999999999996</v>
      </c>
      <c r="R81" s="16">
        <f t="shared" si="20"/>
        <v>-88.427217000000383</v>
      </c>
    </row>
    <row r="82" spans="5:18" x14ac:dyDescent="0.25">
      <c r="E82" s="3"/>
      <c r="F82" s="3"/>
      <c r="G82" s="3">
        <f t="shared" si="15"/>
        <v>171.28122313981333</v>
      </c>
      <c r="H82" s="8">
        <f t="shared" si="19"/>
        <v>171</v>
      </c>
      <c r="I82" s="2">
        <f t="shared" si="16"/>
        <v>-6.6055088447568447E-3</v>
      </c>
      <c r="Q82">
        <v>5.2</v>
      </c>
      <c r="R82" s="16">
        <f t="shared" si="20"/>
        <v>-187.22953600000073</v>
      </c>
    </row>
    <row r="83" spans="5:18" x14ac:dyDescent="0.25">
      <c r="E83" s="3"/>
      <c r="F83" s="3"/>
      <c r="G83" s="3">
        <f t="shared" si="15"/>
        <v>170.17549376331323</v>
      </c>
      <c r="H83" s="8">
        <f t="shared" si="19"/>
        <v>170</v>
      </c>
      <c r="I83" s="2">
        <f t="shared" si="16"/>
        <v>-6.5193905333934508E-3</v>
      </c>
      <c r="Q83">
        <v>5.3</v>
      </c>
      <c r="R83" s="16">
        <f t="shared" si="20"/>
        <v>-296.8319590000001</v>
      </c>
    </row>
    <row r="84" spans="5:18" x14ac:dyDescent="0.25">
      <c r="E84" s="3"/>
      <c r="F84" s="3"/>
      <c r="G84" s="3">
        <f t="shared" si="15"/>
        <v>169.09090317222555</v>
      </c>
      <c r="H84" s="8">
        <f t="shared" si="19"/>
        <v>169</v>
      </c>
      <c r="I84" s="2">
        <f t="shared" si="16"/>
        <v>-6.4354885950194353E-3</v>
      </c>
      <c r="Q84">
        <v>5.4</v>
      </c>
      <c r="R84" s="16">
        <f t="shared" si="20"/>
        <v>-417.6344880000006</v>
      </c>
    </row>
    <row r="85" spans="5:18" x14ac:dyDescent="0.25">
      <c r="E85" s="3"/>
      <c r="F85" s="3"/>
      <c r="G85" s="3">
        <f t="shared" si="15"/>
        <v>168.02678639541745</v>
      </c>
      <c r="H85" s="8">
        <f t="shared" si="19"/>
        <v>168</v>
      </c>
      <c r="I85" s="2">
        <f t="shared" si="16"/>
        <v>-6.3537185634664354E-3</v>
      </c>
      <c r="Q85">
        <v>5.5</v>
      </c>
      <c r="R85" s="16">
        <f t="shared" si="20"/>
        <v>-550.03712500000074</v>
      </c>
    </row>
    <row r="86" spans="5:18" x14ac:dyDescent="0.25">
      <c r="E86" s="3"/>
      <c r="F86" s="3"/>
      <c r="G86" s="3">
        <f t="shared" si="15"/>
        <v>166.98250737964526</v>
      </c>
      <c r="H86" s="8">
        <f t="shared" si="19"/>
        <v>167</v>
      </c>
      <c r="I86" s="2">
        <f t="shared" si="16"/>
        <v>-6.2740002103047207E-3</v>
      </c>
      <c r="Q86">
        <v>5.6</v>
      </c>
      <c r="R86" s="16">
        <f t="shared" si="20"/>
        <v>-694.43987199999992</v>
      </c>
    </row>
    <row r="87" spans="5:18" x14ac:dyDescent="0.25">
      <c r="E87" s="3"/>
      <c r="F87" s="3"/>
      <c r="G87" s="3">
        <f t="shared" si="15"/>
        <v>165.95745739273343</v>
      </c>
      <c r="H87" s="8">
        <f t="shared" si="19"/>
        <v>166</v>
      </c>
      <c r="I87" s="2">
        <f t="shared" si="16"/>
        <v>-6.1962572823985075E-3</v>
      </c>
    </row>
    <row r="88" spans="5:18" x14ac:dyDescent="0.25">
      <c r="E88" s="3"/>
      <c r="F88" s="3"/>
      <c r="G88" s="3">
        <f t="shared" si="15"/>
        <v>164.95105353320301</v>
      </c>
      <c r="H88" s="8">
        <f t="shared" si="19"/>
        <v>165</v>
      </c>
      <c r="I88" s="2">
        <f t="shared" si="16"/>
        <v>-6.1204172587246515E-3</v>
      </c>
    </row>
    <row r="89" spans="5:18" x14ac:dyDescent="0.25">
      <c r="E89" s="3"/>
      <c r="F89" s="3"/>
      <c r="G89" s="3">
        <f t="shared" si="15"/>
        <v>163.96273733806481</v>
      </c>
      <c r="H89" s="8">
        <f t="shared" si="19"/>
        <v>164</v>
      </c>
      <c r="I89" s="2">
        <f t="shared" si="16"/>
        <v>-6.0464111248252454E-3</v>
      </c>
    </row>
    <row r="90" spans="5:18" x14ac:dyDescent="0.25">
      <c r="E90" s="3"/>
      <c r="F90" s="3"/>
      <c r="G90" s="3">
        <f t="shared" si="15"/>
        <v>162.99197348122726</v>
      </c>
      <c r="H90" s="8">
        <f t="shared" si="19"/>
        <v>163</v>
      </c>
      <c r="I90" s="2">
        <f t="shared" si="16"/>
        <v>-5.974173163420274E-3</v>
      </c>
    </row>
    <row r="91" spans="5:18" x14ac:dyDescent="0.25">
      <c r="E91" s="3"/>
      <c r="F91" s="3"/>
      <c r="G91" s="3">
        <f t="shared" si="15"/>
        <v>162.03824855563084</v>
      </c>
      <c r="H91" s="8">
        <f t="shared" si="19"/>
        <v>162</v>
      </c>
      <c r="I91" s="2">
        <f t="shared" si="16"/>
        <v>-5.9036407598455761E-3</v>
      </c>
    </row>
    <row r="92" spans="5:18" x14ac:dyDescent="0.25">
      <c r="E92" s="3"/>
      <c r="F92" s="3"/>
      <c r="G92" s="3">
        <f t="shared" si="15"/>
        <v>161.10106993281892</v>
      </c>
      <c r="H92" s="8">
        <f t="shared" si="19"/>
        <v>161</v>
      </c>
      <c r="I92" s="2">
        <f t="shared" si="16"/>
        <v>-5.8347542211058664E-3</v>
      </c>
    </row>
    <row r="93" spans="5:18" x14ac:dyDescent="0.25">
      <c r="E93" s="3"/>
      <c r="F93" s="3"/>
      <c r="G93" s="3">
        <f t="shared" si="15"/>
        <v>160.17996469419262</v>
      </c>
      <c r="H93" s="8">
        <f t="shared" si="19"/>
        <v>160</v>
      </c>
      <c r="I93" s="2">
        <f t="shared" si="16"/>
        <v>-5.7674566074442241E-3</v>
      </c>
    </row>
    <row r="94" spans="5:18" x14ac:dyDescent="0.25">
      <c r="E94" s="3"/>
      <c r="F94" s="3"/>
      <c r="G94" s="3">
        <f t="shared" si="15"/>
        <v>159.2744786286859</v>
      </c>
      <c r="H94" s="8">
        <f t="shared" si="19"/>
        <v>159</v>
      </c>
      <c r="I94" s="2">
        <f t="shared" si="16"/>
        <v>-5.7016935754295095E-3</v>
      </c>
    </row>
    <row r="95" spans="5:18" x14ac:dyDescent="0.25">
      <c r="E95" s="3"/>
      <c r="F95" s="3"/>
      <c r="G95" s="3">
        <f t="shared" si="15"/>
        <v>158.38417529203704</v>
      </c>
      <c r="H95" s="8">
        <f t="shared" si="19"/>
        <v>158</v>
      </c>
      <c r="I95" s="2">
        <f t="shared" si="16"/>
        <v>-5.6374132316532712E-3</v>
      </c>
    </row>
    <row r="96" spans="5:18" x14ac:dyDescent="0.25">
      <c r="E96" s="3"/>
      <c r="F96" s="3"/>
      <c r="G96" s="3">
        <f t="shared" si="15"/>
        <v>157.5086351232332</v>
      </c>
      <c r="H96" s="8">
        <f t="shared" si="19"/>
        <v>158</v>
      </c>
      <c r="I96" s="2">
        <f t="shared" si="16"/>
        <v>-5.5745659962086035E-3</v>
      </c>
    </row>
    <row r="97" spans="5:9" x14ac:dyDescent="0.25">
      <c r="E97" s="3"/>
      <c r="F97" s="3"/>
      <c r="G97" s="3">
        <f t="shared" si="15"/>
        <v>156.64745461406679</v>
      </c>
      <c r="H97" s="8">
        <f t="shared" si="19"/>
        <v>157</v>
      </c>
      <c r="I97" s="2">
        <f t="shared" si="16"/>
        <v>-5.5131044751964026E-3</v>
      </c>
    </row>
    <row r="98" spans="5:9" x14ac:dyDescent="0.25">
      <c r="E98" s="3"/>
      <c r="F98" s="3"/>
      <c r="G98" s="3">
        <f t="shared" si="15"/>
        <v>155.80024552807154</v>
      </c>
      <c r="H98" s="8">
        <f t="shared" si="19"/>
        <v>156</v>
      </c>
      <c r="I98" s="2">
        <f t="shared" si="16"/>
        <v>-5.4529833415702476E-3</v>
      </c>
    </row>
    <row r="99" spans="5:9" x14ac:dyDescent="0.25">
      <c r="E99" s="3"/>
      <c r="F99" s="3"/>
      <c r="G99" s="3">
        <f t="shared" si="15"/>
        <v>154.96663416540605</v>
      </c>
      <c r="H99" s="8">
        <f t="shared" si="19"/>
        <v>155</v>
      </c>
      <c r="I99" s="2">
        <f t="shared" si="16"/>
        <v>-5.3941592236905278E-3</v>
      </c>
    </row>
    <row r="100" spans="5:9" x14ac:dyDescent="0.25">
      <c r="E100" s="3"/>
      <c r="F100" s="3"/>
      <c r="G100" s="3">
        <f t="shared" si="15"/>
        <v>154.14626067052401</v>
      </c>
      <c r="H100" s="8">
        <f t="shared" si="19"/>
        <v>154</v>
      </c>
      <c r="I100" s="2">
        <f t="shared" si="16"/>
        <v>-5.3365906010121771E-3</v>
      </c>
    </row>
    <row r="101" spans="5:9" x14ac:dyDescent="0.25">
      <c r="E101" s="3"/>
      <c r="F101" s="3"/>
      <c r="G101" s="3">
        <f t="shared" si="15"/>
        <v>153.33877837971963</v>
      </c>
      <c r="H101" s="8">
        <f t="shared" si="19"/>
        <v>153</v>
      </c>
      <c r="I101" s="2">
        <f t="shared" si="16"/>
        <v>-5.2802377063789199E-3</v>
      </c>
    </row>
    <row r="102" spans="5:9" x14ac:dyDescent="0.25">
      <c r="E102" s="3"/>
      <c r="F102" s="3"/>
      <c r="G102" s="3">
        <f t="shared" si="15"/>
        <v>152.54385320586184</v>
      </c>
      <c r="H102" s="8">
        <f t="shared" si="19"/>
        <v>153</v>
      </c>
      <c r="I102" s="2">
        <f t="shared" si="16"/>
        <v>-5.2250624344410603E-3</v>
      </c>
    </row>
    <row r="103" spans="5:9" x14ac:dyDescent="0.25">
      <c r="E103" s="3"/>
      <c r="F103" s="3"/>
      <c r="G103" s="3">
        <f t="shared" si="15"/>
        <v>151.76116305783864</v>
      </c>
      <c r="H103" s="8">
        <f t="shared" si="19"/>
        <v>152</v>
      </c>
      <c r="I103" s="2">
        <f t="shared" si="16"/>
        <v>-5.171028255753672E-3</v>
      </c>
    </row>
    <row r="104" spans="5:9" x14ac:dyDescent="0.25">
      <c r="E104" s="3"/>
      <c r="F104" s="3"/>
      <c r="G104" s="3">
        <f t="shared" si="15"/>
        <v>150.99039729242082</v>
      </c>
      <c r="H104" s="8">
        <f t="shared" si="19"/>
        <v>151</v>
      </c>
      <c r="I104" s="2">
        <f t="shared" si="16"/>
        <v>-5.1181001361484202E-3</v>
      </c>
    </row>
    <row r="105" spans="5:9" x14ac:dyDescent="0.25">
      <c r="E105" s="3"/>
      <c r="F105" s="3"/>
      <c r="G105" s="3">
        <f t="shared" si="15"/>
        <v>150.2312561964271</v>
      </c>
      <c r="H105" s="8">
        <f t="shared" si="19"/>
        <v>150</v>
      </c>
      <c r="I105" s="2">
        <f t="shared" si="16"/>
        <v>-5.0662444610051283E-3</v>
      </c>
    </row>
    <row r="106" spans="5:9" x14ac:dyDescent="0.25">
      <c r="E106" s="3"/>
      <c r="F106" s="3"/>
      <c r="G106" s="3">
        <f t="shared" si="15"/>
        <v>149.48345049723122</v>
      </c>
      <c r="H106" s="8">
        <f t="shared" si="19"/>
        <v>149</v>
      </c>
      <c r="I106" s="2">
        <f t="shared" si="16"/>
        <v>-5.0154289640792259E-3</v>
      </c>
    </row>
    <row r="107" spans="5:9" x14ac:dyDescent="0.25">
      <c r="E107" s="3"/>
      <c r="F107" s="3"/>
      <c r="G107" s="3">
        <f t="shared" si="15"/>
        <v>148.74670089979574</v>
      </c>
      <c r="H107" s="8">
        <f t="shared" si="19"/>
        <v>149</v>
      </c>
      <c r="I107" s="2">
        <f t="shared" si="16"/>
        <v>-4.9656226605684839E-3</v>
      </c>
    </row>
    <row r="108" spans="5:9" x14ac:dyDescent="0.25">
      <c r="E108" s="3"/>
      <c r="F108" s="3"/>
      <c r="G108" s="3">
        <f t="shared" si="15"/>
        <v>148.02073764855041</v>
      </c>
      <c r="H108" s="8">
        <f t="shared" si="19"/>
        <v>148</v>
      </c>
      <c r="I108" s="2">
        <f t="shared" si="16"/>
        <v>-4.9167957841273983E-3</v>
      </c>
    </row>
    <row r="109" spans="5:9" x14ac:dyDescent="0.25">
      <c r="E109" s="3"/>
      <c r="F109" s="3"/>
      <c r="G109" s="3">
        <f t="shared" si="15"/>
        <v>147.30530011255479</v>
      </c>
      <c r="H109" s="8">
        <f t="shared" si="19"/>
        <v>147</v>
      </c>
      <c r="I109" s="2">
        <f t="shared" si="16"/>
        <v>-4.8689197275602189E-3</v>
      </c>
    </row>
    <row r="110" spans="5:9" x14ac:dyDescent="0.25">
      <c r="E110" s="3"/>
      <c r="F110" s="3"/>
      <c r="G110" s="3">
        <f t="shared" si="15"/>
        <v>146.60013639249684</v>
      </c>
      <c r="H110" s="8">
        <f t="shared" si="19"/>
        <v>147</v>
      </c>
      <c r="I110" s="2">
        <f t="shared" si="16"/>
        <v>-4.8219669869444069E-3</v>
      </c>
    </row>
    <row r="111" spans="5:9" x14ac:dyDescent="0.25">
      <c r="E111" s="3"/>
      <c r="F111" s="3"/>
      <c r="G111" s="3">
        <f t="shared" si="15"/>
        <v>145.90500294818193</v>
      </c>
      <c r="H111" s="8">
        <f t="shared" si="19"/>
        <v>146</v>
      </c>
      <c r="I111" s="2">
        <f t="shared" si="16"/>
        <v>-4.7759111089552605E-3</v>
      </c>
    </row>
    <row r="112" spans="5:9" x14ac:dyDescent="0.25">
      <c r="E112" s="3"/>
      <c r="F112" s="3"/>
      <c r="G112" s="3">
        <f t="shared" si="15"/>
        <v>145.21966424526187</v>
      </c>
      <c r="I112" s="2">
        <f t="shared" si="16"/>
        <v>-4.7307266411797727E-3</v>
      </c>
    </row>
    <row r="113" spans="5:9" x14ac:dyDescent="0.25">
      <c r="E113" s="3"/>
      <c r="F113" s="3"/>
      <c r="G113" s="3">
        <f t="shared" ref="G113:G169" si="21">G112*(1+I113+1.5*I113*I113)</f>
        <v>144.54389242004035</v>
      </c>
      <c r="I113" s="2">
        <f t="shared" ref="I113:I152" si="22">-1*$B$22*G112*G112</f>
        <v>-4.6863890852236866E-3</v>
      </c>
    </row>
    <row r="114" spans="5:9" x14ac:dyDescent="0.25">
      <c r="E114" s="3"/>
      <c r="F114" s="3"/>
      <c r="G114" s="3">
        <f t="shared" si="21"/>
        <v>143.87746696127192</v>
      </c>
      <c r="I114" s="2">
        <f t="shared" si="22"/>
        <v>-4.6428748524302661E-3</v>
      </c>
    </row>
    <row r="115" spans="5:9" x14ac:dyDescent="0.25">
      <c r="E115" s="3"/>
      <c r="F115" s="3"/>
      <c r="G115" s="3">
        <f t="shared" si="21"/>
        <v>143.22017440794573</v>
      </c>
      <c r="I115" s="2">
        <f t="shared" si="22"/>
        <v>-4.6001612220426431E-3</v>
      </c>
    </row>
    <row r="116" spans="5:9" x14ac:dyDescent="0.25">
      <c r="E116" s="3"/>
      <c r="F116" s="3"/>
      <c r="G116" s="3">
        <f t="shared" si="21"/>
        <v>142.57180806211369</v>
      </c>
      <c r="I116" s="2">
        <f t="shared" si="22"/>
        <v>-4.5582263016538645E-3</v>
      </c>
    </row>
    <row r="117" spans="5:9" x14ac:dyDescent="0.25">
      <c r="E117" s="3"/>
      <c r="F117" s="3"/>
      <c r="G117" s="3">
        <f t="shared" si="21"/>
        <v>141.93216771588581</v>
      </c>
      <c r="I117" s="2">
        <f t="shared" si="22"/>
        <v>-4.5170489898000406E-3</v>
      </c>
    </row>
    <row r="118" spans="5:9" x14ac:dyDescent="0.25">
      <c r="E118" s="3"/>
      <c r="F118" s="3"/>
      <c r="G118" s="3">
        <f t="shared" si="21"/>
        <v>141.30105939177443</v>
      </c>
      <c r="I118" s="2">
        <f t="shared" si="22"/>
        <v>-4.4766089405622973E-3</v>
      </c>
    </row>
    <row r="119" spans="5:9" x14ac:dyDescent="0.25">
      <c r="E119" s="3"/>
      <c r="F119" s="3"/>
      <c r="G119" s="3">
        <f t="shared" si="21"/>
        <v>140.67829509562256</v>
      </c>
      <c r="I119" s="2">
        <f t="shared" si="22"/>
        <v>-4.4368865300528368E-3</v>
      </c>
    </row>
    <row r="120" spans="5:9" x14ac:dyDescent="0.25">
      <c r="E120" s="3"/>
      <c r="F120" s="3"/>
      <c r="G120" s="3">
        <f t="shared" si="21"/>
        <v>140.06369258140188</v>
      </c>
      <c r="I120" s="2">
        <f t="shared" si="22"/>
        <v>-4.3978628246691244E-3</v>
      </c>
    </row>
    <row r="121" spans="5:9" x14ac:dyDescent="0.25">
      <c r="E121" s="3"/>
      <c r="F121" s="3"/>
      <c r="G121" s="3">
        <f t="shared" si="21"/>
        <v>139.45707512721262</v>
      </c>
      <c r="I121" s="2">
        <f t="shared" si="22"/>
        <v>-4.3595195510083224E-3</v>
      </c>
    </row>
    <row r="122" spans="5:9" x14ac:dyDescent="0.25">
      <c r="E122" s="3"/>
      <c r="F122" s="3"/>
      <c r="G122" s="3">
        <f t="shared" si="21"/>
        <v>138.85827132185997</v>
      </c>
      <c r="I122" s="2">
        <f t="shared" si="22"/>
        <v>-4.3218390673415603E-3</v>
      </c>
    </row>
    <row r="123" spans="5:9" x14ac:dyDescent="0.25">
      <c r="E123" s="3"/>
      <c r="F123" s="3"/>
      <c r="G123" s="3">
        <f t="shared" si="21"/>
        <v>138.26711486142207</v>
      </c>
      <c r="I123" s="2">
        <f t="shared" si="22"/>
        <v>-4.2848043365545062E-3</v>
      </c>
    </row>
    <row r="124" spans="5:9" x14ac:dyDescent="0.25">
      <c r="E124" s="3"/>
      <c r="F124" s="3"/>
      <c r="G124" s="3">
        <f t="shared" si="21"/>
        <v>137.68344435526149</v>
      </c>
      <c r="I124" s="2">
        <f t="shared" si="22"/>
        <v>-4.2483989004670408E-3</v>
      </c>
    </row>
    <row r="125" spans="5:9" x14ac:dyDescent="0.25">
      <c r="E125" s="3"/>
      <c r="F125" s="3"/>
      <c r="G125" s="3">
        <f t="shared" si="21"/>
        <v>137.10710314096625</v>
      </c>
      <c r="I125" s="2">
        <f t="shared" si="22"/>
        <v>-4.2126068554507517E-3</v>
      </c>
    </row>
    <row r="126" spans="5:9" x14ac:dyDescent="0.25">
      <c r="E126" s="3"/>
      <c r="F126" s="3"/>
      <c r="G126" s="3">
        <f t="shared" si="21"/>
        <v>136.53793910773899</v>
      </c>
      <c r="I126" s="2">
        <f t="shared" si="22"/>
        <v>-4.177412829268346E-3</v>
      </c>
    </row>
    <row r="127" spans="5:9" x14ac:dyDescent="0.25">
      <c r="E127" s="3"/>
      <c r="F127" s="3"/>
      <c r="G127" s="3">
        <f t="shared" si="21"/>
        <v>135.97580452778206</v>
      </c>
      <c r="I127" s="2">
        <f t="shared" si="22"/>
        <v>-4.1428019590641421E-3</v>
      </c>
    </row>
    <row r="128" spans="5:9" x14ac:dyDescent="0.25">
      <c r="E128" s="3"/>
      <c r="F128" s="3"/>
      <c r="G128" s="3">
        <f t="shared" si="21"/>
        <v>135.42055589525427</v>
      </c>
      <c r="I128" s="2">
        <f t="shared" si="22"/>
        <v>-4.1087598704394662E-3</v>
      </c>
    </row>
    <row r="129" spans="5:9" x14ac:dyDescent="0.25">
      <c r="E129" s="3"/>
      <c r="F129" s="3"/>
      <c r="G129" s="3">
        <f t="shared" si="21"/>
        <v>134.87205377240082</v>
      </c>
      <c r="I129" s="2">
        <f t="shared" si="22"/>
        <v>-4.075272657551041E-3</v>
      </c>
    </row>
    <row r="130" spans="5:9" x14ac:dyDescent="0.25">
      <c r="E130" s="3"/>
      <c r="F130" s="3"/>
      <c r="G130" s="3">
        <f t="shared" si="21"/>
        <v>134.33016264248175</v>
      </c>
      <c r="I130" s="2">
        <f t="shared" si="22"/>
        <v>-4.0423268641745285E-3</v>
      </c>
    </row>
    <row r="131" spans="5:9" x14ac:dyDescent="0.25">
      <c r="E131" s="3"/>
      <c r="F131" s="3"/>
      <c r="G131" s="3">
        <f t="shared" si="21"/>
        <v>133.79475076914684</v>
      </c>
      <c r="I131" s="2">
        <f t="shared" si="22"/>
        <v>-4.0099094656790221E-3</v>
      </c>
    </row>
    <row r="132" spans="5:9" x14ac:dyDescent="0.25">
      <c r="E132" s="3"/>
      <c r="F132" s="3"/>
      <c r="G132" s="3">
        <f t="shared" si="21"/>
        <v>133.26569006192568</v>
      </c>
      <c r="I132" s="2">
        <f t="shared" si="22"/>
        <v>-3.9780078518618046E-3</v>
      </c>
    </row>
    <row r="133" spans="5:9" x14ac:dyDescent="0.25">
      <c r="E133" s="3"/>
      <c r="F133" s="3"/>
      <c r="G133" s="3">
        <f t="shared" si="21"/>
        <v>132.74285594752098</v>
      </c>
      <c r="I133" s="2">
        <f t="shared" si="22"/>
        <v>-3.9466098105958303E-3</v>
      </c>
    </row>
    <row r="134" spans="5:9" x14ac:dyDescent="0.25">
      <c r="E134" s="3"/>
      <c r="F134" s="3"/>
      <c r="G134" s="3">
        <f t="shared" si="21"/>
        <v>132.22612724661192</v>
      </c>
      <c r="I134" s="2">
        <f t="shared" si="22"/>
        <v>-3.915703512245401E-3</v>
      </c>
    </row>
    <row r="135" spans="5:9" x14ac:dyDescent="0.25">
      <c r="E135" s="3"/>
      <c r="F135" s="3"/>
      <c r="G135" s="3">
        <f t="shared" si="21"/>
        <v>131.71538605589041</v>
      </c>
      <c r="I135" s="2">
        <f t="shared" si="22"/>
        <v>-3.8852774948082685E-3</v>
      </c>
    </row>
    <row r="136" spans="5:9" x14ac:dyDescent="0.25">
      <c r="E136" s="3"/>
      <c r="F136" s="3"/>
      <c r="G136" s="3">
        <f t="shared" si="21"/>
        <v>131.21051763506998</v>
      </c>
      <c r="I136" s="2">
        <f t="shared" si="22"/>
        <v>-3.8553206497449442E-3</v>
      </c>
    </row>
    <row r="137" spans="5:9" x14ac:dyDescent="0.25">
      <c r="E137" s="3"/>
      <c r="F137" s="3"/>
      <c r="G137" s="3">
        <f t="shared" si="21"/>
        <v>130.71141029862133</v>
      </c>
      <c r="I137" s="2">
        <f t="shared" si="22"/>
        <v>-3.8258222084584467E-3</v>
      </c>
    </row>
    <row r="138" spans="5:9" x14ac:dyDescent="0.25">
      <c r="E138" s="3"/>
      <c r="F138" s="3"/>
      <c r="G138" s="3">
        <f t="shared" si="21"/>
        <v>130.21795531200272</v>
      </c>
      <c r="I138" s="2">
        <f t="shared" si="22"/>
        <v>-3.7967717293898957E-3</v>
      </c>
    </row>
    <row r="139" spans="5:9" x14ac:dyDescent="0.25">
      <c r="E139" s="3"/>
      <c r="F139" s="3"/>
      <c r="G139" s="3">
        <f t="shared" si="21"/>
        <v>129.73004679216609</v>
      </c>
      <c r="I139" s="2">
        <f t="shared" si="22"/>
        <v>-3.7681590856974969E-3</v>
      </c>
    </row>
    <row r="140" spans="5:9" x14ac:dyDescent="0.25">
      <c r="E140" s="3"/>
      <c r="F140" s="3"/>
      <c r="G140" s="3">
        <f t="shared" si="21"/>
        <v>129.24758161213268</v>
      </c>
      <c r="I140" s="2">
        <f t="shared" si="22"/>
        <v>-3.7399744534883563E-3</v>
      </c>
    </row>
    <row r="141" spans="5:9" x14ac:dyDescent="0.25">
      <c r="E141" s="3"/>
      <c r="F141" s="3"/>
      <c r="G141" s="3">
        <f t="shared" si="21"/>
        <v>128.77045930944237</v>
      </c>
      <c r="I141" s="2">
        <f t="shared" si="22"/>
        <v>-3.7122083005744215E-3</v>
      </c>
    </row>
    <row r="142" spans="5:9" x14ac:dyDescent="0.25">
      <c r="E142" s="3"/>
      <c r="F142" s="3"/>
      <c r="G142" s="3">
        <f t="shared" si="21"/>
        <v>128.29858199829272</v>
      </c>
      <c r="I142" s="2">
        <f t="shared" si="22"/>
        <v>-3.6848513757255009E-3</v>
      </c>
    </row>
    <row r="143" spans="5:9" x14ac:dyDescent="0.25">
      <c r="E143" s="3"/>
      <c r="F143" s="3"/>
      <c r="G143" s="3">
        <f t="shared" si="21"/>
        <v>127.83185428519305</v>
      </c>
      <c r="I143" s="2">
        <f t="shared" si="22"/>
        <v>-3.65789469839392E-3</v>
      </c>
    </row>
    <row r="144" spans="5:9" x14ac:dyDescent="0.25">
      <c r="E144" s="3"/>
      <c r="F144" s="3"/>
      <c r="G144" s="3">
        <f t="shared" si="21"/>
        <v>127.37018318796851</v>
      </c>
      <c r="I144" s="2">
        <f t="shared" si="22"/>
        <v>-3.6313295488868504E-3</v>
      </c>
    </row>
    <row r="145" spans="5:9" x14ac:dyDescent="0.25">
      <c r="E145" s="3"/>
      <c r="F145" s="3"/>
      <c r="G145" s="3">
        <f t="shared" si="21"/>
        <v>126.91347805795824</v>
      </c>
      <c r="I145" s="2">
        <f t="shared" si="22"/>
        <v>-3.6051474589637012E-3</v>
      </c>
    </row>
    <row r="146" spans="5:9" x14ac:dyDescent="0.25">
      <c r="E146" s="3"/>
      <c r="F146" s="3"/>
      <c r="G146" s="3">
        <f t="shared" si="21"/>
        <v>126.4616505052596</v>
      </c>
      <c r="I146" s="2">
        <f t="shared" si="22"/>
        <v>-3.5793402028372993E-3</v>
      </c>
    </row>
    <row r="147" spans="5:9" x14ac:dyDescent="0.25">
      <c r="E147" s="3"/>
      <c r="F147" s="3"/>
      <c r="G147" s="3">
        <f t="shared" si="21"/>
        <v>126.01461432687869</v>
      </c>
      <c r="I147" s="2">
        <f t="shared" si="22"/>
        <v>-3.5538997885587609E-3</v>
      </c>
    </row>
    <row r="148" spans="5:9" x14ac:dyDescent="0.25">
      <c r="E148" s="3"/>
      <c r="F148" s="3"/>
      <c r="G148" s="3">
        <f t="shared" si="21"/>
        <v>125.57228543765449</v>
      </c>
      <c r="I148" s="2">
        <f t="shared" si="22"/>
        <v>-3.5288184497671063E-3</v>
      </c>
    </row>
    <row r="149" spans="5:9" x14ac:dyDescent="0.25">
      <c r="E149" s="3"/>
      <c r="F149" s="3"/>
      <c r="G149" s="3">
        <f t="shared" si="21"/>
        <v>125.13458180383101</v>
      </c>
      <c r="I149" s="2">
        <f t="shared" si="22"/>
        <v>-3.5040886377857273E-3</v>
      </c>
    </row>
    <row r="150" spans="5:9" x14ac:dyDescent="0.25">
      <c r="E150" s="3"/>
      <c r="F150" s="3"/>
      <c r="G150" s="3">
        <f t="shared" si="21"/>
        <v>124.70142337915831</v>
      </c>
      <c r="I150" s="2">
        <f t="shared" si="22"/>
        <v>-3.4797030140488166E-3</v>
      </c>
    </row>
    <row r="151" spans="5:9" x14ac:dyDescent="0.25">
      <c r="E151" s="3"/>
      <c r="F151" s="3"/>
      <c r="G151" s="3">
        <f t="shared" si="21"/>
        <v>124.27273204340933</v>
      </c>
      <c r="I151" s="2">
        <f t="shared" si="22"/>
        <v>-3.4556544428417982E-3</v>
      </c>
    </row>
    <row r="152" spans="5:9" x14ac:dyDescent="0.25">
      <c r="E152" s="3"/>
      <c r="F152" s="3"/>
      <c r="G152" s="3">
        <f t="shared" si="21"/>
        <v>123.84843154320548</v>
      </c>
      <c r="I152" s="2">
        <f t="shared" si="22"/>
        <v>-3.4319359843406703E-3</v>
      </c>
    </row>
    <row r="153" spans="5:9" x14ac:dyDescent="0.25">
      <c r="E153" s="3"/>
      <c r="F153" s="3"/>
      <c r="G153" s="3">
        <f t="shared" si="21"/>
        <v>123.84843154320548</v>
      </c>
      <c r="I153" s="2"/>
    </row>
    <row r="154" spans="5:9" x14ac:dyDescent="0.25">
      <c r="E154" s="3"/>
      <c r="F154" s="3"/>
      <c r="G154" s="3">
        <f t="shared" si="21"/>
        <v>123.84843154320548</v>
      </c>
      <c r="I154" s="2"/>
    </row>
    <row r="155" spans="5:9" x14ac:dyDescent="0.25">
      <c r="E155" s="3"/>
      <c r="F155" s="3"/>
      <c r="G155" s="3">
        <f t="shared" si="21"/>
        <v>123.84843154320548</v>
      </c>
      <c r="I155" s="2"/>
    </row>
    <row r="156" spans="5:9" x14ac:dyDescent="0.25">
      <c r="E156" s="3"/>
      <c r="F156" s="3"/>
      <c r="G156" s="3">
        <f t="shared" si="21"/>
        <v>123.84843154320548</v>
      </c>
      <c r="I156" s="2"/>
    </row>
    <row r="157" spans="5:9" x14ac:dyDescent="0.25">
      <c r="E157" s="3"/>
      <c r="F157" s="3"/>
      <c r="G157" s="3">
        <f t="shared" si="21"/>
        <v>123.84843154320548</v>
      </c>
      <c r="I157" s="2"/>
    </row>
    <row r="158" spans="5:9" x14ac:dyDescent="0.25">
      <c r="E158" s="3"/>
      <c r="F158" s="3"/>
      <c r="G158" s="3">
        <f t="shared" si="21"/>
        <v>123.84843154320548</v>
      </c>
      <c r="I158" s="2"/>
    </row>
    <row r="159" spans="5:9" x14ac:dyDescent="0.25">
      <c r="E159" s="3"/>
      <c r="F159" s="3"/>
      <c r="G159" s="3">
        <f t="shared" si="21"/>
        <v>123.84843154320548</v>
      </c>
      <c r="I159" s="2"/>
    </row>
    <row r="160" spans="5:9" x14ac:dyDescent="0.25">
      <c r="E160" s="3"/>
      <c r="F160" s="3"/>
      <c r="G160" s="3">
        <f t="shared" si="21"/>
        <v>123.84843154320548</v>
      </c>
      <c r="I160" s="2"/>
    </row>
    <row r="161" spans="5:9" x14ac:dyDescent="0.25">
      <c r="E161" s="3"/>
      <c r="F161" s="3"/>
      <c r="G161" s="3">
        <f t="shared" si="21"/>
        <v>123.84843154320548</v>
      </c>
      <c r="I161" s="2"/>
    </row>
    <row r="162" spans="5:9" x14ac:dyDescent="0.25">
      <c r="E162" s="3"/>
      <c r="F162" s="3"/>
      <c r="G162" s="3">
        <f t="shared" si="21"/>
        <v>123.84843154320548</v>
      </c>
      <c r="I162" s="2"/>
    </row>
    <row r="163" spans="5:9" x14ac:dyDescent="0.25">
      <c r="E163" s="3"/>
      <c r="F163" s="3"/>
      <c r="G163" s="3">
        <f t="shared" si="21"/>
        <v>123.84843154320548</v>
      </c>
      <c r="I163" s="2"/>
    </row>
    <row r="164" spans="5:9" x14ac:dyDescent="0.25">
      <c r="E164" s="3"/>
      <c r="F164" s="3"/>
      <c r="G164" s="3">
        <f t="shared" si="21"/>
        <v>123.84843154320548</v>
      </c>
      <c r="I164" s="2"/>
    </row>
    <row r="165" spans="5:9" x14ac:dyDescent="0.25">
      <c r="E165" s="3"/>
      <c r="F165" s="3"/>
      <c r="G165" s="3">
        <f t="shared" si="21"/>
        <v>123.84843154320548</v>
      </c>
      <c r="I165" s="2"/>
    </row>
    <row r="166" spans="5:9" x14ac:dyDescent="0.25">
      <c r="E166" s="3"/>
      <c r="F166" s="3"/>
      <c r="G166" s="3">
        <f t="shared" si="21"/>
        <v>123.84843154320548</v>
      </c>
      <c r="I166" s="2"/>
    </row>
    <row r="167" spans="5:9" x14ac:dyDescent="0.25">
      <c r="E167" s="3"/>
      <c r="F167" s="3"/>
      <c r="G167" s="3">
        <f t="shared" si="21"/>
        <v>123.84843154320548</v>
      </c>
      <c r="I167" s="2"/>
    </row>
    <row r="168" spans="5:9" x14ac:dyDescent="0.25">
      <c r="E168" s="3"/>
      <c r="F168" s="3"/>
      <c r="G168" s="3">
        <f t="shared" si="21"/>
        <v>123.84843154320548</v>
      </c>
      <c r="I168" s="2"/>
    </row>
    <row r="169" spans="5:9" x14ac:dyDescent="0.25">
      <c r="E169" s="3"/>
      <c r="F169" s="3"/>
      <c r="G169" s="3">
        <f t="shared" si="21"/>
        <v>123.84843154320548</v>
      </c>
      <c r="I169" s="2"/>
    </row>
    <row r="170" spans="5:9" x14ac:dyDescent="0.25">
      <c r="E170" s="3"/>
      <c r="F170" s="3"/>
      <c r="I170" s="2"/>
    </row>
    <row r="171" spans="5:9" x14ac:dyDescent="0.25">
      <c r="E171" s="3"/>
      <c r="F171" s="3"/>
      <c r="I171" s="2"/>
    </row>
    <row r="172" spans="5:9" x14ac:dyDescent="0.25">
      <c r="E172" s="3"/>
      <c r="F172" s="3"/>
      <c r="I172" s="2"/>
    </row>
    <row r="173" spans="5:9" x14ac:dyDescent="0.25">
      <c r="E173" s="3"/>
      <c r="F173" s="3"/>
      <c r="I173" s="2"/>
    </row>
    <row r="174" spans="5:9" x14ac:dyDescent="0.25">
      <c r="E174" s="3"/>
      <c r="F174" s="3"/>
      <c r="I174" s="2"/>
    </row>
    <row r="175" spans="5:9" x14ac:dyDescent="0.25">
      <c r="E175" s="3"/>
      <c r="F175" s="3"/>
      <c r="I175" s="2"/>
    </row>
    <row r="176" spans="5:9" x14ac:dyDescent="0.25">
      <c r="E176" s="3"/>
      <c r="F176" s="3"/>
      <c r="I176" s="2"/>
    </row>
    <row r="177" spans="5:9" x14ac:dyDescent="0.25">
      <c r="E177" s="3"/>
      <c r="F177" s="3"/>
      <c r="I177" s="2"/>
    </row>
    <row r="178" spans="5:9" x14ac:dyDescent="0.25">
      <c r="E178" s="3"/>
      <c r="F178" s="3"/>
      <c r="I178" s="2"/>
    </row>
    <row r="179" spans="5:9" x14ac:dyDescent="0.25">
      <c r="E179" s="3"/>
      <c r="F179" s="3"/>
      <c r="I179" s="2"/>
    </row>
    <row r="180" spans="5:9" x14ac:dyDescent="0.25">
      <c r="E180" s="3"/>
      <c r="F180" s="3"/>
      <c r="I180" s="2"/>
    </row>
    <row r="181" spans="5:9" x14ac:dyDescent="0.25">
      <c r="E181" s="3"/>
      <c r="F181" s="3"/>
      <c r="I181" s="2"/>
    </row>
    <row r="182" spans="5:9" x14ac:dyDescent="0.25">
      <c r="E182" s="3"/>
      <c r="F182" s="3"/>
      <c r="I182" s="2"/>
    </row>
    <row r="183" spans="5:9" x14ac:dyDescent="0.25">
      <c r="E183" s="3"/>
      <c r="F183" s="3"/>
      <c r="I183" s="2"/>
    </row>
    <row r="184" spans="5:9" x14ac:dyDescent="0.25">
      <c r="E184" s="3"/>
      <c r="F184" s="3"/>
      <c r="I184" s="2"/>
    </row>
    <row r="185" spans="5:9" x14ac:dyDescent="0.25">
      <c r="E185" s="3"/>
      <c r="F185" s="3"/>
      <c r="I185" s="2"/>
    </row>
    <row r="186" spans="5:9" x14ac:dyDescent="0.25">
      <c r="E186" s="3"/>
      <c r="F186" s="3"/>
      <c r="I186" s="2"/>
    </row>
    <row r="187" spans="5:9" x14ac:dyDescent="0.25">
      <c r="E187" s="3"/>
      <c r="F187" s="3"/>
      <c r="I187" s="2"/>
    </row>
    <row r="188" spans="5:9" x14ac:dyDescent="0.25">
      <c r="E188" s="3"/>
      <c r="F188" s="3"/>
      <c r="I188" s="2"/>
    </row>
    <row r="189" spans="5:9" x14ac:dyDescent="0.25">
      <c r="E189" s="3"/>
      <c r="F189" s="3"/>
      <c r="I189" s="2"/>
    </row>
    <row r="190" spans="5:9" x14ac:dyDescent="0.25">
      <c r="E190" s="3"/>
      <c r="F190" s="3"/>
      <c r="I190" s="2"/>
    </row>
    <row r="191" spans="5:9" x14ac:dyDescent="0.25">
      <c r="E191" s="3"/>
      <c r="F191" s="3"/>
      <c r="I191" s="2"/>
    </row>
    <row r="192" spans="5:9" x14ac:dyDescent="0.25">
      <c r="E192" s="3"/>
      <c r="F192" s="3"/>
      <c r="I192" s="2"/>
    </row>
    <row r="193" spans="5:9" x14ac:dyDescent="0.25">
      <c r="E193" s="3"/>
      <c r="F193" s="3"/>
      <c r="I193" s="2"/>
    </row>
    <row r="194" spans="5:9" x14ac:dyDescent="0.25">
      <c r="E194" s="3"/>
      <c r="F194" s="3"/>
      <c r="I194" s="2"/>
    </row>
    <row r="195" spans="5:9" x14ac:dyDescent="0.25">
      <c r="E195" s="3"/>
      <c r="F195" s="3"/>
      <c r="I195" s="2"/>
    </row>
    <row r="196" spans="5:9" x14ac:dyDescent="0.25">
      <c r="E196" s="3"/>
      <c r="F196" s="3"/>
      <c r="I196" s="2"/>
    </row>
    <row r="197" spans="5:9" x14ac:dyDescent="0.25">
      <c r="E197" s="3"/>
      <c r="F197" s="3"/>
      <c r="I197" s="2"/>
    </row>
    <row r="198" spans="5:9" x14ac:dyDescent="0.25">
      <c r="E198" s="3"/>
      <c r="F198" s="3"/>
      <c r="I198" s="2"/>
    </row>
    <row r="199" spans="5:9" x14ac:dyDescent="0.25">
      <c r="E199" s="3"/>
      <c r="F199" s="3"/>
      <c r="I199" s="2"/>
    </row>
    <row r="200" spans="5:9" x14ac:dyDescent="0.25">
      <c r="E200" s="3"/>
      <c r="F200" s="3"/>
      <c r="I200" s="2"/>
    </row>
    <row r="201" spans="5:9" x14ac:dyDescent="0.25">
      <c r="E201" s="3"/>
      <c r="F201" s="3"/>
      <c r="I201" s="2"/>
    </row>
    <row r="202" spans="5:9" x14ac:dyDescent="0.25">
      <c r="E202" s="3"/>
      <c r="F202" s="3"/>
      <c r="I202" s="2"/>
    </row>
    <row r="203" spans="5:9" x14ac:dyDescent="0.25">
      <c r="E203" s="3"/>
      <c r="F203" s="3"/>
      <c r="I203" s="2"/>
    </row>
    <row r="204" spans="5:9" x14ac:dyDescent="0.25">
      <c r="E204" s="3"/>
      <c r="F204" s="3"/>
      <c r="I204" s="2"/>
    </row>
    <row r="205" spans="5:9" x14ac:dyDescent="0.25">
      <c r="E205" s="3"/>
      <c r="F205" s="3"/>
      <c r="I205" s="2"/>
    </row>
    <row r="206" spans="5:9" x14ac:dyDescent="0.25">
      <c r="E206" s="3"/>
      <c r="F206" s="3"/>
      <c r="I206" s="2"/>
    </row>
    <row r="207" spans="5:9" x14ac:dyDescent="0.25">
      <c r="E207" s="3"/>
      <c r="F207" s="3"/>
      <c r="I207" s="2"/>
    </row>
    <row r="208" spans="5:9" x14ac:dyDescent="0.25">
      <c r="E208" s="3"/>
      <c r="F208" s="3"/>
      <c r="I208" s="2"/>
    </row>
    <row r="209" spans="5:9" x14ac:dyDescent="0.25">
      <c r="E209" s="3"/>
      <c r="F209" s="3"/>
      <c r="I209" s="2"/>
    </row>
    <row r="210" spans="5:9" x14ac:dyDescent="0.25">
      <c r="E210" s="3"/>
      <c r="F210" s="3"/>
      <c r="I210" s="2"/>
    </row>
    <row r="211" spans="5:9" x14ac:dyDescent="0.25">
      <c r="E211" s="3"/>
      <c r="F211" s="3"/>
      <c r="I211" s="2"/>
    </row>
    <row r="212" spans="5:9" x14ac:dyDescent="0.25">
      <c r="E212" s="3"/>
      <c r="F212" s="3"/>
      <c r="I212" s="2"/>
    </row>
    <row r="213" spans="5:9" x14ac:dyDescent="0.25">
      <c r="E213" s="3"/>
      <c r="F213" s="3"/>
      <c r="I213" s="2"/>
    </row>
    <row r="214" spans="5:9" x14ac:dyDescent="0.25">
      <c r="E214" s="3"/>
      <c r="F214" s="3"/>
      <c r="I214" s="2"/>
    </row>
    <row r="215" spans="5:9" x14ac:dyDescent="0.25">
      <c r="E215" s="3"/>
      <c r="F215" s="3"/>
      <c r="I215" s="2"/>
    </row>
    <row r="216" spans="5:9" x14ac:dyDescent="0.25">
      <c r="E216" s="3"/>
      <c r="F216" s="3"/>
      <c r="I216" s="2"/>
    </row>
    <row r="217" spans="5:9" x14ac:dyDescent="0.25">
      <c r="E217" s="3"/>
      <c r="F217" s="3"/>
      <c r="I217" s="2"/>
    </row>
    <row r="218" spans="5:9" x14ac:dyDescent="0.25">
      <c r="E218" s="3"/>
      <c r="F218" s="3"/>
      <c r="I218" s="2"/>
    </row>
    <row r="219" spans="5:9" x14ac:dyDescent="0.25">
      <c r="E219" s="3"/>
      <c r="F219" s="3"/>
      <c r="I219" s="2"/>
    </row>
    <row r="220" spans="5:9" x14ac:dyDescent="0.25">
      <c r="E220" s="3"/>
      <c r="F220" s="3"/>
      <c r="I220" s="2"/>
    </row>
    <row r="221" spans="5:9" x14ac:dyDescent="0.25">
      <c r="E221" s="3"/>
      <c r="F221" s="3"/>
      <c r="I221" s="2"/>
    </row>
    <row r="222" spans="5:9" x14ac:dyDescent="0.25">
      <c r="E222" s="3"/>
      <c r="F222" s="3"/>
      <c r="I222" s="2"/>
    </row>
    <row r="223" spans="5:9" x14ac:dyDescent="0.25">
      <c r="E223" s="3"/>
      <c r="F223" s="3"/>
      <c r="I223" s="2"/>
    </row>
    <row r="224" spans="5:9" x14ac:dyDescent="0.25">
      <c r="E224" s="3"/>
      <c r="F224" s="3"/>
      <c r="I224" s="2"/>
    </row>
    <row r="225" spans="5:9" x14ac:dyDescent="0.25">
      <c r="E225" s="3"/>
      <c r="F225" s="3"/>
      <c r="I225" s="2"/>
    </row>
    <row r="226" spans="5:9" x14ac:dyDescent="0.25">
      <c r="E226" s="3"/>
      <c r="F226" s="3"/>
      <c r="I226" s="2"/>
    </row>
    <row r="227" spans="5:9" x14ac:dyDescent="0.25">
      <c r="E227" s="3"/>
      <c r="F227" s="3"/>
      <c r="I227" s="2"/>
    </row>
    <row r="228" spans="5:9" x14ac:dyDescent="0.25">
      <c r="E228" s="3"/>
      <c r="F228" s="3"/>
      <c r="I228" s="2"/>
    </row>
    <row r="229" spans="5:9" x14ac:dyDescent="0.25">
      <c r="E229" s="3"/>
      <c r="F229" s="3"/>
      <c r="I229" s="2"/>
    </row>
    <row r="230" spans="5:9" x14ac:dyDescent="0.25">
      <c r="E230" s="3"/>
      <c r="F230" s="3"/>
      <c r="I230" s="2"/>
    </row>
    <row r="231" spans="5:9" x14ac:dyDescent="0.25">
      <c r="E231" s="3"/>
      <c r="F231" s="3"/>
      <c r="I231" s="2"/>
    </row>
    <row r="232" spans="5:9" x14ac:dyDescent="0.25">
      <c r="E232" s="3"/>
      <c r="F232" s="3"/>
      <c r="I232" s="2"/>
    </row>
    <row r="233" spans="5:9" x14ac:dyDescent="0.25">
      <c r="E233" s="3"/>
      <c r="F233" s="3"/>
      <c r="I233" s="2"/>
    </row>
    <row r="234" spans="5:9" x14ac:dyDescent="0.25">
      <c r="E234" s="3"/>
      <c r="F234" s="3"/>
      <c r="I234" s="2"/>
    </row>
    <row r="235" spans="5:9" x14ac:dyDescent="0.25">
      <c r="E235" s="3"/>
      <c r="F235" s="3"/>
      <c r="I235" s="2"/>
    </row>
    <row r="236" spans="5:9" x14ac:dyDescent="0.25">
      <c r="E236" s="3"/>
      <c r="F236" s="3"/>
      <c r="I236" s="2"/>
    </row>
    <row r="237" spans="5:9" x14ac:dyDescent="0.25">
      <c r="E237" s="3"/>
      <c r="F237" s="3"/>
      <c r="I237" s="2"/>
    </row>
    <row r="238" spans="5:9" x14ac:dyDescent="0.25">
      <c r="E238" s="3"/>
      <c r="F238" s="3"/>
      <c r="I238" s="2"/>
    </row>
    <row r="239" spans="5:9" x14ac:dyDescent="0.25">
      <c r="E239" s="3"/>
      <c r="F239" s="3"/>
      <c r="I239" s="2"/>
    </row>
    <row r="240" spans="5:9" x14ac:dyDescent="0.25">
      <c r="E240" s="3"/>
      <c r="F240" s="3"/>
      <c r="I240" s="2"/>
    </row>
    <row r="241" spans="5:9" x14ac:dyDescent="0.25">
      <c r="E241" s="3"/>
      <c r="F241" s="3"/>
      <c r="I241" s="2"/>
    </row>
    <row r="242" spans="5:9" x14ac:dyDescent="0.25">
      <c r="E242" s="3"/>
      <c r="F242" s="3"/>
      <c r="I242" s="2"/>
    </row>
    <row r="243" spans="5:9" x14ac:dyDescent="0.25">
      <c r="E243" s="3"/>
      <c r="F243" s="3"/>
      <c r="I243" s="2"/>
    </row>
    <row r="244" spans="5:9" x14ac:dyDescent="0.25">
      <c r="E244" s="3"/>
      <c r="F244" s="3"/>
      <c r="I244" s="2"/>
    </row>
    <row r="245" spans="5:9" x14ac:dyDescent="0.25">
      <c r="E245" s="3"/>
      <c r="F245" s="3"/>
      <c r="I245" s="2"/>
    </row>
    <row r="246" spans="5:9" x14ac:dyDescent="0.25">
      <c r="E246" s="3"/>
      <c r="F246" s="3"/>
      <c r="I246" s="2"/>
    </row>
    <row r="247" spans="5:9" x14ac:dyDescent="0.25">
      <c r="E247" s="3"/>
      <c r="F247" s="3"/>
      <c r="I247" s="2"/>
    </row>
    <row r="248" spans="5:9" x14ac:dyDescent="0.25">
      <c r="E248" s="3"/>
      <c r="F248" s="3"/>
      <c r="I248" s="2"/>
    </row>
    <row r="249" spans="5:9" x14ac:dyDescent="0.25">
      <c r="E249" s="3"/>
      <c r="F249" s="3"/>
      <c r="I249" s="2"/>
    </row>
    <row r="250" spans="5:9" x14ac:dyDescent="0.25">
      <c r="E250" s="3"/>
      <c r="F250" s="3"/>
      <c r="I250" s="2"/>
    </row>
    <row r="251" spans="5:9" x14ac:dyDescent="0.25">
      <c r="E251" s="3"/>
      <c r="F251" s="3"/>
      <c r="I251" s="2"/>
    </row>
    <row r="252" spans="5:9" x14ac:dyDescent="0.25">
      <c r="E252" s="3"/>
      <c r="F252" s="3"/>
      <c r="I252" s="2"/>
    </row>
    <row r="253" spans="5:9" x14ac:dyDescent="0.25">
      <c r="E253" s="3"/>
      <c r="F253" s="3"/>
      <c r="I253" s="2"/>
    </row>
    <row r="254" spans="5:9" x14ac:dyDescent="0.25">
      <c r="E254" s="3"/>
      <c r="F254" s="3"/>
      <c r="I254" s="2"/>
    </row>
    <row r="255" spans="5:9" x14ac:dyDescent="0.25">
      <c r="E255" s="3"/>
      <c r="F255" s="3"/>
      <c r="I255" s="2"/>
    </row>
    <row r="256" spans="5:9" x14ac:dyDescent="0.25">
      <c r="E256" s="3"/>
      <c r="F256" s="3"/>
      <c r="I256" s="2"/>
    </row>
    <row r="257" spans="5:9" x14ac:dyDescent="0.25">
      <c r="E257" s="3"/>
      <c r="F257" s="3"/>
      <c r="I257" s="2"/>
    </row>
    <row r="258" spans="5:9" x14ac:dyDescent="0.25">
      <c r="E258" s="3"/>
      <c r="F258" s="3"/>
      <c r="I258" s="2"/>
    </row>
    <row r="259" spans="5:9" x14ac:dyDescent="0.25">
      <c r="E259" s="3"/>
      <c r="F259" s="3"/>
      <c r="I259" s="2"/>
    </row>
    <row r="260" spans="5:9" x14ac:dyDescent="0.25">
      <c r="E260" s="3"/>
      <c r="F260" s="3"/>
      <c r="I260" s="2"/>
    </row>
    <row r="261" spans="5:9" x14ac:dyDescent="0.25">
      <c r="E261" s="3"/>
      <c r="F261" s="3"/>
      <c r="I261" s="2"/>
    </row>
    <row r="262" spans="5:9" x14ac:dyDescent="0.25">
      <c r="E262" s="3"/>
      <c r="F262" s="3"/>
      <c r="I262" s="2"/>
    </row>
    <row r="263" spans="5:9" x14ac:dyDescent="0.25">
      <c r="E263" s="3"/>
      <c r="F263" s="3"/>
      <c r="I263" s="2"/>
    </row>
    <row r="264" spans="5:9" x14ac:dyDescent="0.25">
      <c r="E264" s="3"/>
      <c r="F264" s="3"/>
      <c r="I264" s="2"/>
    </row>
    <row r="265" spans="5:9" x14ac:dyDescent="0.25">
      <c r="E265" s="3"/>
      <c r="F265" s="3"/>
      <c r="I265" s="2"/>
    </row>
    <row r="266" spans="5:9" x14ac:dyDescent="0.25">
      <c r="E266" s="3"/>
      <c r="F266" s="3"/>
      <c r="I266" s="2"/>
    </row>
    <row r="267" spans="5:9" x14ac:dyDescent="0.25">
      <c r="E267" s="3"/>
      <c r="F267" s="3"/>
      <c r="I267" s="2"/>
    </row>
    <row r="268" spans="5:9" x14ac:dyDescent="0.25">
      <c r="E268" s="3"/>
      <c r="F268" s="3"/>
      <c r="I268" s="2"/>
    </row>
    <row r="269" spans="5:9" x14ac:dyDescent="0.25">
      <c r="E269" s="3"/>
      <c r="F269" s="3"/>
      <c r="I269" s="2"/>
    </row>
    <row r="270" spans="5:9" x14ac:dyDescent="0.25">
      <c r="E270" s="3"/>
      <c r="F270" s="3"/>
      <c r="I270" s="2"/>
    </row>
    <row r="271" spans="5:9" x14ac:dyDescent="0.25">
      <c r="E271" s="3"/>
      <c r="F271" s="3"/>
      <c r="I271" s="2"/>
    </row>
    <row r="272" spans="5:9" x14ac:dyDescent="0.25">
      <c r="E272" s="3"/>
      <c r="F272" s="3"/>
      <c r="I272" s="2"/>
    </row>
    <row r="273" spans="5:9" x14ac:dyDescent="0.25">
      <c r="E273" s="3"/>
      <c r="F273" s="3"/>
      <c r="I273" s="2"/>
    </row>
    <row r="274" spans="5:9" x14ac:dyDescent="0.25">
      <c r="E274" s="3"/>
      <c r="F274" s="3"/>
      <c r="I274" s="2"/>
    </row>
    <row r="275" spans="5:9" x14ac:dyDescent="0.25">
      <c r="E275" s="3"/>
      <c r="F275" s="3"/>
      <c r="I275" s="2"/>
    </row>
    <row r="276" spans="5:9" x14ac:dyDescent="0.25">
      <c r="E276" s="3"/>
      <c r="F276" s="3"/>
      <c r="I276" s="2"/>
    </row>
    <row r="277" spans="5:9" x14ac:dyDescent="0.25">
      <c r="E277" s="3"/>
      <c r="F277" s="3"/>
      <c r="I277" s="2"/>
    </row>
    <row r="278" spans="5:9" x14ac:dyDescent="0.25">
      <c r="E278" s="3"/>
      <c r="F278" s="3"/>
      <c r="I278" s="2"/>
    </row>
    <row r="279" spans="5:9" x14ac:dyDescent="0.25">
      <c r="E279" s="3"/>
      <c r="F279" s="3"/>
      <c r="I279" s="2"/>
    </row>
    <row r="280" spans="5:9" x14ac:dyDescent="0.25">
      <c r="E280" s="3"/>
      <c r="F280" s="3"/>
      <c r="I280" s="2"/>
    </row>
    <row r="281" spans="5:9" x14ac:dyDescent="0.25">
      <c r="E281" s="3"/>
      <c r="F281" s="3"/>
      <c r="I281" s="2"/>
    </row>
    <row r="282" spans="5:9" x14ac:dyDescent="0.25">
      <c r="E282" s="3"/>
      <c r="F282" s="3"/>
      <c r="I282" s="2"/>
    </row>
    <row r="283" spans="5:9" x14ac:dyDescent="0.25">
      <c r="E283" s="3"/>
      <c r="F283" s="3"/>
      <c r="I283" s="2"/>
    </row>
    <row r="284" spans="5:9" x14ac:dyDescent="0.25">
      <c r="E284" s="3"/>
      <c r="F284" s="3"/>
      <c r="I284" s="2"/>
    </row>
    <row r="285" spans="5:9" x14ac:dyDescent="0.25">
      <c r="E285" s="3"/>
      <c r="F285" s="3"/>
      <c r="I285" s="2"/>
    </row>
    <row r="286" spans="5:9" x14ac:dyDescent="0.25">
      <c r="E286" s="3"/>
      <c r="F286" s="3"/>
      <c r="I286" s="2"/>
    </row>
    <row r="287" spans="5:9" x14ac:dyDescent="0.25">
      <c r="E287" s="3"/>
      <c r="F287" s="3"/>
      <c r="I287" s="2"/>
    </row>
    <row r="288" spans="5:9" x14ac:dyDescent="0.25">
      <c r="E288" s="3"/>
      <c r="F288" s="3"/>
      <c r="I288" s="2"/>
    </row>
    <row r="289" spans="5:9" x14ac:dyDescent="0.25">
      <c r="E289" s="3"/>
      <c r="F289" s="3"/>
      <c r="I289" s="2"/>
    </row>
    <row r="290" spans="5:9" x14ac:dyDescent="0.25">
      <c r="E290" s="3"/>
      <c r="F290" s="3"/>
      <c r="I290" s="2"/>
    </row>
    <row r="291" spans="5:9" x14ac:dyDescent="0.25">
      <c r="E291" s="3"/>
      <c r="F291" s="3"/>
      <c r="I291" s="2"/>
    </row>
    <row r="292" spans="5:9" x14ac:dyDescent="0.25">
      <c r="E292" s="3"/>
      <c r="F292" s="3"/>
      <c r="I292" s="2"/>
    </row>
    <row r="293" spans="5:9" x14ac:dyDescent="0.25">
      <c r="E293" s="3"/>
      <c r="F293" s="3"/>
      <c r="I293" s="2"/>
    </row>
    <row r="294" spans="5:9" x14ac:dyDescent="0.25">
      <c r="E294" s="3"/>
      <c r="F294" s="3"/>
      <c r="I294" s="2"/>
    </row>
    <row r="295" spans="5:9" x14ac:dyDescent="0.25">
      <c r="E295" s="3"/>
      <c r="F295" s="3"/>
      <c r="I295" s="2"/>
    </row>
    <row r="296" spans="5:9" x14ac:dyDescent="0.25">
      <c r="E296" s="3"/>
      <c r="F296" s="3"/>
      <c r="I296" s="2"/>
    </row>
    <row r="297" spans="5:9" x14ac:dyDescent="0.25">
      <c r="E297" s="3"/>
      <c r="F297" s="3"/>
      <c r="I297" s="2"/>
    </row>
    <row r="298" spans="5:9" x14ac:dyDescent="0.25">
      <c r="E298" s="3"/>
      <c r="F298" s="3"/>
      <c r="I298" s="2"/>
    </row>
    <row r="299" spans="5:9" x14ac:dyDescent="0.25">
      <c r="E299" s="3"/>
      <c r="F299" s="3"/>
      <c r="I299" s="2"/>
    </row>
    <row r="300" spans="5:9" x14ac:dyDescent="0.25">
      <c r="E300" s="3"/>
      <c r="F300" s="3"/>
      <c r="I300" s="2"/>
    </row>
    <row r="301" spans="5:9" x14ac:dyDescent="0.25">
      <c r="E301" s="3"/>
      <c r="F301" s="3"/>
      <c r="I301" s="2"/>
    </row>
    <row r="302" spans="5:9" x14ac:dyDescent="0.25">
      <c r="E302" s="3"/>
      <c r="F302" s="3"/>
      <c r="I302" s="2"/>
    </row>
    <row r="303" spans="5:9" x14ac:dyDescent="0.25">
      <c r="E303" s="3"/>
      <c r="F303" s="3"/>
      <c r="I303" s="2"/>
    </row>
    <row r="304" spans="5:9" x14ac:dyDescent="0.25">
      <c r="E304" s="3"/>
      <c r="F304" s="3"/>
      <c r="I304" s="2"/>
    </row>
    <row r="305" spans="5:9" x14ac:dyDescent="0.25">
      <c r="E305" s="3"/>
      <c r="F305" s="3"/>
      <c r="I305" s="2"/>
    </row>
    <row r="306" spans="5:9" x14ac:dyDescent="0.25">
      <c r="E306" s="3"/>
      <c r="F306" s="3"/>
      <c r="I306" s="2"/>
    </row>
    <row r="307" spans="5:9" x14ac:dyDescent="0.25">
      <c r="E307" s="3"/>
      <c r="F307" s="3"/>
      <c r="I307" s="2"/>
    </row>
    <row r="308" spans="5:9" x14ac:dyDescent="0.25">
      <c r="E308" s="3"/>
      <c r="F308" s="3"/>
      <c r="I308" s="2"/>
    </row>
    <row r="309" spans="5:9" x14ac:dyDescent="0.25">
      <c r="E309" s="3"/>
      <c r="F309" s="3"/>
      <c r="I309" s="2"/>
    </row>
    <row r="310" spans="5:9" x14ac:dyDescent="0.25">
      <c r="E310" s="3"/>
      <c r="F310" s="3"/>
      <c r="I310" s="2"/>
    </row>
    <row r="311" spans="5:9" x14ac:dyDescent="0.25">
      <c r="E311" s="3"/>
      <c r="F311" s="3"/>
      <c r="I311" s="2"/>
    </row>
    <row r="312" spans="5:9" x14ac:dyDescent="0.25">
      <c r="E312" s="3"/>
      <c r="F312" s="3"/>
      <c r="I312" s="2"/>
    </row>
    <row r="313" spans="5:9" x14ac:dyDescent="0.25">
      <c r="E313" s="3"/>
      <c r="F313" s="3"/>
      <c r="I313" s="2"/>
    </row>
    <row r="314" spans="5:9" x14ac:dyDescent="0.25">
      <c r="E314" s="3"/>
      <c r="F314" s="3"/>
      <c r="I314" s="2"/>
    </row>
    <row r="315" spans="5:9" x14ac:dyDescent="0.25">
      <c r="E315" s="3"/>
      <c r="F315" s="3"/>
      <c r="I315" s="2"/>
    </row>
    <row r="316" spans="5:9" x14ac:dyDescent="0.25">
      <c r="E316" s="3"/>
      <c r="F316" s="3"/>
      <c r="I316" s="2"/>
    </row>
    <row r="317" spans="5:9" x14ac:dyDescent="0.25">
      <c r="E317" s="3"/>
      <c r="F317" s="3"/>
      <c r="I317" s="2"/>
    </row>
    <row r="318" spans="5:9" x14ac:dyDescent="0.25">
      <c r="E318" s="3"/>
      <c r="F318" s="3"/>
      <c r="I318" s="2"/>
    </row>
    <row r="319" spans="5:9" x14ac:dyDescent="0.25">
      <c r="E319" s="3"/>
      <c r="F319" s="3"/>
      <c r="I319" s="2"/>
    </row>
    <row r="320" spans="5:9" x14ac:dyDescent="0.25">
      <c r="E320" s="3"/>
      <c r="F320" s="3"/>
      <c r="I320" s="2"/>
    </row>
    <row r="321" spans="5:9" x14ac:dyDescent="0.25">
      <c r="E321" s="3"/>
      <c r="F321" s="3"/>
      <c r="I321" s="2"/>
    </row>
    <row r="322" spans="5:9" x14ac:dyDescent="0.25">
      <c r="E322" s="3"/>
      <c r="F322" s="3"/>
      <c r="I322" s="2"/>
    </row>
    <row r="323" spans="5:9" x14ac:dyDescent="0.25">
      <c r="E323" s="3"/>
      <c r="F323" s="3"/>
      <c r="I323" s="2"/>
    </row>
    <row r="324" spans="5:9" x14ac:dyDescent="0.25">
      <c r="E324" s="3"/>
      <c r="F324" s="3"/>
      <c r="I324" s="2"/>
    </row>
    <row r="325" spans="5:9" x14ac:dyDescent="0.25">
      <c r="E325" s="3"/>
      <c r="F325" s="3"/>
      <c r="I325" s="2"/>
    </row>
    <row r="326" spans="5:9" x14ac:dyDescent="0.25">
      <c r="E326" s="3"/>
      <c r="F326" s="3"/>
      <c r="I326" s="2"/>
    </row>
    <row r="327" spans="5:9" x14ac:dyDescent="0.25">
      <c r="E327" s="3"/>
      <c r="F327" s="3"/>
      <c r="I327" s="2"/>
    </row>
    <row r="328" spans="5:9" x14ac:dyDescent="0.25">
      <c r="E328" s="3"/>
      <c r="F328" s="3"/>
      <c r="I328" s="2"/>
    </row>
    <row r="329" spans="5:9" x14ac:dyDescent="0.25">
      <c r="E329" s="3"/>
      <c r="F329" s="3"/>
      <c r="I329" s="2"/>
    </row>
    <row r="330" spans="5:9" x14ac:dyDescent="0.25">
      <c r="E330" s="3"/>
      <c r="F330" s="3"/>
      <c r="I330" s="2"/>
    </row>
    <row r="331" spans="5:9" x14ac:dyDescent="0.25">
      <c r="E331" s="3"/>
      <c r="F331" s="3"/>
      <c r="I331" s="2"/>
    </row>
    <row r="332" spans="5:9" x14ac:dyDescent="0.25">
      <c r="E332" s="3"/>
      <c r="F332" s="3"/>
      <c r="I332" s="2"/>
    </row>
    <row r="333" spans="5:9" x14ac:dyDescent="0.25">
      <c r="E333" s="3"/>
      <c r="F333" s="3"/>
      <c r="I333" s="2"/>
    </row>
    <row r="334" spans="5:9" x14ac:dyDescent="0.25">
      <c r="E334" s="3"/>
      <c r="F334" s="3"/>
      <c r="I334" s="2"/>
    </row>
    <row r="335" spans="5:9" x14ac:dyDescent="0.25">
      <c r="E335" s="3"/>
      <c r="F335" s="3"/>
      <c r="I335" s="2"/>
    </row>
    <row r="336" spans="5:9" x14ac:dyDescent="0.25">
      <c r="E336" s="3"/>
      <c r="F336" s="3"/>
      <c r="I336" s="2"/>
    </row>
    <row r="337" spans="5:9" x14ac:dyDescent="0.25">
      <c r="E337" s="3"/>
      <c r="F337" s="3"/>
      <c r="I337" s="2"/>
    </row>
    <row r="338" spans="5:9" x14ac:dyDescent="0.25">
      <c r="E338" s="3"/>
      <c r="F338" s="3"/>
      <c r="I338" s="2"/>
    </row>
    <row r="339" spans="5:9" x14ac:dyDescent="0.25">
      <c r="E339" s="3"/>
      <c r="F339" s="3"/>
      <c r="I339" s="2"/>
    </row>
    <row r="340" spans="5:9" x14ac:dyDescent="0.25">
      <c r="E340" s="3"/>
      <c r="F340" s="3"/>
      <c r="I340" s="2"/>
    </row>
    <row r="341" spans="5:9" x14ac:dyDescent="0.25">
      <c r="E341" s="3"/>
      <c r="F341" s="3"/>
      <c r="I341" s="2"/>
    </row>
    <row r="342" spans="5:9" x14ac:dyDescent="0.25">
      <c r="E342" s="3"/>
      <c r="F342" s="3"/>
      <c r="I342" s="2"/>
    </row>
    <row r="343" spans="5:9" x14ac:dyDescent="0.25">
      <c r="E343" s="3"/>
      <c r="F343" s="3"/>
      <c r="I343" s="2"/>
    </row>
    <row r="344" spans="5:9" x14ac:dyDescent="0.25">
      <c r="E344" s="3"/>
      <c r="F344" s="3"/>
      <c r="I344" s="2"/>
    </row>
    <row r="345" spans="5:9" x14ac:dyDescent="0.25">
      <c r="E345" s="3"/>
      <c r="F345" s="3"/>
      <c r="I345" s="2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A19" sqref="A19"/>
    </sheetView>
  </sheetViews>
  <sheetFormatPr defaultRowHeight="15" x14ac:dyDescent="0.25"/>
  <sheetData>
    <row r="1" spans="1:2" x14ac:dyDescent="0.25">
      <c r="A1">
        <v>500</v>
      </c>
      <c r="B1" t="s">
        <v>38</v>
      </c>
    </row>
    <row r="2" spans="1:2" x14ac:dyDescent="0.25">
      <c r="A2">
        <f>A1/60</f>
        <v>8.3333333333333339</v>
      </c>
      <c r="B2" t="s">
        <v>39</v>
      </c>
    </row>
    <row r="3" spans="1:2" x14ac:dyDescent="0.25">
      <c r="A3">
        <v>1.5</v>
      </c>
      <c r="B3" t="s">
        <v>40</v>
      </c>
    </row>
    <row r="4" spans="1:2" x14ac:dyDescent="0.25">
      <c r="A4">
        <f>A7/A5/A3</f>
        <v>6</v>
      </c>
      <c r="B4" t="s">
        <v>41</v>
      </c>
    </row>
    <row r="5" spans="1:2" x14ac:dyDescent="0.25">
      <c r="A5">
        <f>400/1</f>
        <v>400</v>
      </c>
      <c r="B5" t="s">
        <v>42</v>
      </c>
    </row>
    <row r="6" spans="1:2" x14ac:dyDescent="0.25">
      <c r="A6">
        <f>A2*A3*A5</f>
        <v>5000</v>
      </c>
      <c r="B6" t="s">
        <v>43</v>
      </c>
    </row>
    <row r="7" spans="1:2" x14ac:dyDescent="0.25">
      <c r="A7">
        <f>1800*2</f>
        <v>3600</v>
      </c>
      <c r="B7" t="s">
        <v>44</v>
      </c>
    </row>
    <row r="8" spans="1:2" x14ac:dyDescent="0.25">
      <c r="A8">
        <f>A2*A7</f>
        <v>30000.000000000004</v>
      </c>
      <c r="B8" t="s">
        <v>45</v>
      </c>
    </row>
    <row r="11" spans="1:2" x14ac:dyDescent="0.25">
      <c r="A11">
        <f>A3/A7</f>
        <v>4.1666666666666669E-4</v>
      </c>
      <c r="B11" t="s">
        <v>46</v>
      </c>
    </row>
    <row r="14" spans="1:2" x14ac:dyDescent="0.25">
      <c r="A14">
        <v>20</v>
      </c>
      <c r="B14" t="s">
        <v>47</v>
      </c>
    </row>
    <row r="15" spans="1:2" x14ac:dyDescent="0.25">
      <c r="A15" s="18">
        <f>A14/A5</f>
        <v>0.05</v>
      </c>
      <c r="B15" t="s">
        <v>48</v>
      </c>
    </row>
    <row r="16" spans="1:2" x14ac:dyDescent="0.25">
      <c r="A16" s="4">
        <f>A15/A11</f>
        <v>120</v>
      </c>
      <c r="B16" t="s">
        <v>49</v>
      </c>
    </row>
    <row r="18" spans="1:2" x14ac:dyDescent="0.25">
      <c r="A18">
        <f>1366/100000</f>
        <v>1.366E-2</v>
      </c>
      <c r="B18" t="s">
        <v>50</v>
      </c>
    </row>
    <row r="19" spans="1:2" x14ac:dyDescent="0.25">
      <c r="A19">
        <f>A2*A18</f>
        <v>0.11383333333333334</v>
      </c>
    </row>
    <row r="20" spans="1:2" x14ac:dyDescent="0.25">
      <c r="A20">
        <f>A19*A7</f>
        <v>409.8</v>
      </c>
      <c r="B20" t="s">
        <v>51</v>
      </c>
    </row>
    <row r="21" spans="1:2" x14ac:dyDescent="0.25">
      <c r="A21">
        <f>A20*A11</f>
        <v>0.17075000000000001</v>
      </c>
      <c r="B2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zoomScaleNormal="100" workbookViewId="0">
      <selection activeCell="B5" sqref="B5"/>
    </sheetView>
  </sheetViews>
  <sheetFormatPr defaultRowHeight="15" x14ac:dyDescent="0.25"/>
  <cols>
    <col min="1" max="1" width="24.28515625" bestFit="1" customWidth="1"/>
    <col min="3" max="3" width="10.85546875" bestFit="1" customWidth="1"/>
    <col min="4" max="4" width="14.28515625" bestFit="1" customWidth="1"/>
    <col min="5" max="5" width="31.85546875" customWidth="1"/>
  </cols>
  <sheetData>
    <row r="1" spans="1:12" x14ac:dyDescent="0.25">
      <c r="A1" t="s">
        <v>73</v>
      </c>
    </row>
    <row r="2" spans="1:12" x14ac:dyDescent="0.25">
      <c r="A2" t="s">
        <v>72</v>
      </c>
    </row>
    <row r="3" spans="1:12" x14ac:dyDescent="0.25">
      <c r="A3" t="s">
        <v>71</v>
      </c>
    </row>
    <row r="4" spans="1:12" x14ac:dyDescent="0.25">
      <c r="B4" t="s">
        <v>70</v>
      </c>
      <c r="C4" t="s">
        <v>69</v>
      </c>
    </row>
    <row r="5" spans="1:12" x14ac:dyDescent="0.25">
      <c r="A5" t="s">
        <v>68</v>
      </c>
      <c r="B5">
        <f>10/2</f>
        <v>5</v>
      </c>
      <c r="C5" s="4">
        <f t="shared" ref="C5:C15" si="0">B5*400</f>
        <v>2000</v>
      </c>
      <c r="D5">
        <f>C5*1024</f>
        <v>2048000</v>
      </c>
    </row>
    <row r="6" spans="1:12" x14ac:dyDescent="0.25">
      <c r="A6" t="s">
        <v>67</v>
      </c>
      <c r="B6">
        <v>-2.5</v>
      </c>
      <c r="C6" s="4">
        <f t="shared" si="0"/>
        <v>-1000</v>
      </c>
      <c r="G6" s="10"/>
      <c r="H6" s="10"/>
      <c r="I6" s="10"/>
      <c r="J6" s="10"/>
      <c r="K6" s="10"/>
      <c r="L6" s="10"/>
    </row>
    <row r="7" spans="1:12" x14ac:dyDescent="0.25">
      <c r="A7" t="s">
        <v>66</v>
      </c>
      <c r="B7">
        <f>12/2</f>
        <v>6</v>
      </c>
      <c r="C7" s="4">
        <f t="shared" si="0"/>
        <v>2400</v>
      </c>
      <c r="D7">
        <f>C7*1024</f>
        <v>2457600</v>
      </c>
      <c r="G7" s="10"/>
      <c r="H7" s="10"/>
      <c r="I7" s="10"/>
      <c r="J7" s="10"/>
      <c r="K7" s="10"/>
      <c r="L7" s="10"/>
    </row>
    <row r="8" spans="1:12" x14ac:dyDescent="0.25">
      <c r="A8" t="s">
        <v>65</v>
      </c>
      <c r="B8">
        <v>-4.5</v>
      </c>
      <c r="C8" s="4">
        <f t="shared" si="0"/>
        <v>-1800</v>
      </c>
      <c r="G8" s="10"/>
      <c r="H8" s="10"/>
      <c r="I8" s="10"/>
      <c r="J8" s="10"/>
      <c r="K8" s="10"/>
      <c r="L8" s="10"/>
    </row>
    <row r="9" spans="1:12" x14ac:dyDescent="0.25">
      <c r="A9" t="s">
        <v>64</v>
      </c>
      <c r="B9">
        <v>-1.99</v>
      </c>
      <c r="C9" s="4">
        <f t="shared" si="0"/>
        <v>-796</v>
      </c>
      <c r="D9">
        <f>C9*1024</f>
        <v>-815104</v>
      </c>
      <c r="E9" s="4"/>
      <c r="G9" s="10"/>
      <c r="H9" s="10"/>
      <c r="I9" s="10">
        <v>7</v>
      </c>
      <c r="J9" s="10">
        <v>0</v>
      </c>
      <c r="K9" s="10"/>
      <c r="L9" s="10"/>
    </row>
    <row r="10" spans="1:12" x14ac:dyDescent="0.25">
      <c r="A10" t="s">
        <v>63</v>
      </c>
      <c r="B10">
        <v>-2.2450000000000001</v>
      </c>
      <c r="C10" s="4">
        <f t="shared" si="0"/>
        <v>-898</v>
      </c>
      <c r="D10">
        <f>C10*1024</f>
        <v>-919552</v>
      </c>
      <c r="E10" s="4"/>
      <c r="G10" s="10"/>
      <c r="H10" s="10"/>
      <c r="I10" s="10"/>
      <c r="J10" s="10"/>
      <c r="K10" s="10"/>
      <c r="L10" s="10"/>
    </row>
    <row r="11" spans="1:12" x14ac:dyDescent="0.25">
      <c r="A11" t="s">
        <v>62</v>
      </c>
      <c r="B11">
        <f>B5+B9</f>
        <v>3.01</v>
      </c>
      <c r="C11" s="4">
        <f t="shared" si="0"/>
        <v>1204</v>
      </c>
      <c r="E11" s="4"/>
      <c r="G11" s="10"/>
      <c r="H11" s="10">
        <v>6</v>
      </c>
      <c r="I11" s="10"/>
      <c r="J11" s="10"/>
      <c r="K11" s="10">
        <v>1</v>
      </c>
      <c r="L11" s="10"/>
    </row>
    <row r="12" spans="1:12" x14ac:dyDescent="0.25">
      <c r="A12" t="s">
        <v>61</v>
      </c>
      <c r="B12">
        <f>B6+B10</f>
        <v>-4.7450000000000001</v>
      </c>
      <c r="C12" s="4">
        <f t="shared" si="0"/>
        <v>-1898</v>
      </c>
      <c r="G12" s="10"/>
      <c r="H12" s="10"/>
      <c r="I12" s="10"/>
      <c r="J12" s="10"/>
      <c r="K12" s="10"/>
      <c r="L12" s="10"/>
    </row>
    <row r="13" spans="1:12" x14ac:dyDescent="0.25">
      <c r="A13" t="s">
        <v>60</v>
      </c>
      <c r="B13">
        <f>-(B5+B9)</f>
        <v>-3.01</v>
      </c>
      <c r="C13" s="4">
        <f t="shared" si="0"/>
        <v>-1204</v>
      </c>
      <c r="G13" s="10"/>
      <c r="H13" s="10"/>
      <c r="I13" s="10"/>
      <c r="J13" s="10"/>
      <c r="K13" s="10"/>
      <c r="L13" s="10"/>
    </row>
    <row r="14" spans="1:12" x14ac:dyDescent="0.25">
      <c r="A14" t="s">
        <v>59</v>
      </c>
      <c r="B14">
        <f>-(B6+B10)</f>
        <v>4.7450000000000001</v>
      </c>
      <c r="C14" s="4">
        <f t="shared" si="0"/>
        <v>1898</v>
      </c>
      <c r="E14" s="4"/>
      <c r="G14" s="10"/>
      <c r="H14" s="10"/>
      <c r="I14" s="10"/>
      <c r="J14" s="10"/>
      <c r="K14" s="10"/>
      <c r="L14" s="10"/>
    </row>
    <row r="15" spans="1:12" x14ac:dyDescent="0.25">
      <c r="A15" t="s">
        <v>58</v>
      </c>
      <c r="B15">
        <f>SQRT(B9*B9+B10*B10)</f>
        <v>3.0000208332609959</v>
      </c>
      <c r="C15" s="4">
        <f t="shared" si="0"/>
        <v>1200.0083333043983</v>
      </c>
      <c r="G15" s="10"/>
      <c r="H15" s="10">
        <v>5</v>
      </c>
      <c r="I15" s="10"/>
      <c r="J15" s="10"/>
      <c r="K15" s="10">
        <v>2</v>
      </c>
      <c r="L15" s="10"/>
    </row>
    <row r="16" spans="1:12" x14ac:dyDescent="0.25">
      <c r="A16" t="s">
        <v>57</v>
      </c>
      <c r="B16">
        <f>SQRT(B15*B15/2)</f>
        <v>2.121335074899767</v>
      </c>
      <c r="C16" s="2">
        <f>INT(B16*400)</f>
        <v>848</v>
      </c>
      <c r="D16">
        <f>C16*1024</f>
        <v>868352</v>
      </c>
      <c r="G16" s="10"/>
      <c r="H16" s="10"/>
      <c r="I16" s="10"/>
      <c r="J16" s="10"/>
      <c r="K16" s="10"/>
      <c r="L16" s="10"/>
    </row>
    <row r="17" spans="1:12" x14ac:dyDescent="0.25">
      <c r="G17" s="10"/>
      <c r="H17" s="10"/>
      <c r="I17" s="10"/>
      <c r="J17" s="10"/>
      <c r="K17" s="10"/>
      <c r="L17" s="10"/>
    </row>
    <row r="18" spans="1:12" x14ac:dyDescent="0.25">
      <c r="A18" t="s">
        <v>56</v>
      </c>
      <c r="B18">
        <f>B5+B13</f>
        <v>1.9900000000000002</v>
      </c>
      <c r="C18" s="4">
        <f>B18*400</f>
        <v>796.00000000000011</v>
      </c>
      <c r="D18" s="4">
        <f>C18*1024</f>
        <v>815104.00000000012</v>
      </c>
      <c r="G18" s="10"/>
      <c r="H18" s="10"/>
      <c r="I18" s="10">
        <v>4</v>
      </c>
      <c r="J18" s="10">
        <v>3</v>
      </c>
      <c r="K18" s="10"/>
      <c r="L18" s="10"/>
    </row>
    <row r="19" spans="1:12" x14ac:dyDescent="0.25">
      <c r="A19" t="s">
        <v>55</v>
      </c>
      <c r="B19">
        <f>B6+B14</f>
        <v>2.2450000000000001</v>
      </c>
      <c r="C19" s="4">
        <f>B19*400</f>
        <v>898</v>
      </c>
      <c r="D19" s="4">
        <f>C19*1024</f>
        <v>919552</v>
      </c>
      <c r="G19" s="10"/>
      <c r="H19" s="10"/>
      <c r="I19" s="10"/>
      <c r="J19" s="10"/>
      <c r="K19" s="10"/>
      <c r="L19" s="10"/>
    </row>
    <row r="20" spans="1:12" x14ac:dyDescent="0.25">
      <c r="A20" t="s">
        <v>54</v>
      </c>
      <c r="B20">
        <f>B7+B13</f>
        <v>2.99</v>
      </c>
      <c r="C20" s="4">
        <f>B20*400</f>
        <v>1196</v>
      </c>
      <c r="D20" s="4">
        <f>C20*1024</f>
        <v>1224704</v>
      </c>
      <c r="G20" s="10"/>
      <c r="H20" s="10"/>
      <c r="I20" s="10"/>
      <c r="J20" s="10"/>
      <c r="K20" s="10"/>
      <c r="L20" s="10"/>
    </row>
    <row r="21" spans="1:12" x14ac:dyDescent="0.25">
      <c r="A21" t="s">
        <v>53</v>
      </c>
      <c r="B21">
        <f>B8+B14</f>
        <v>0.24500000000000011</v>
      </c>
      <c r="C21" s="4">
        <f>B21*400</f>
        <v>98.000000000000043</v>
      </c>
      <c r="D21" s="4">
        <f>C21*1024</f>
        <v>100352.00000000004</v>
      </c>
      <c r="G21" s="10"/>
      <c r="H21" s="10"/>
      <c r="I21" s="10"/>
      <c r="J21" s="10"/>
      <c r="K21" s="10"/>
      <c r="L21" s="10"/>
    </row>
    <row r="22" spans="1:12" x14ac:dyDescent="0.25">
      <c r="G22" s="10"/>
      <c r="H22" s="10"/>
      <c r="I22" s="10"/>
      <c r="J22" s="10"/>
      <c r="K22" s="10"/>
      <c r="L22" s="10"/>
    </row>
    <row r="23" spans="1:12" x14ac:dyDescent="0.25">
      <c r="G23" s="10"/>
      <c r="H23" s="10"/>
      <c r="I23" s="10"/>
      <c r="J23" s="10"/>
      <c r="K23" s="10"/>
      <c r="L23" s="10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0"/>
  <sheetViews>
    <sheetView topLeftCell="J1" zoomScaleNormal="100" workbookViewId="0">
      <selection activeCell="V33" sqref="V33"/>
    </sheetView>
  </sheetViews>
  <sheetFormatPr defaultRowHeight="15" x14ac:dyDescent="0.25"/>
  <cols>
    <col min="1" max="1" width="7.42578125" customWidth="1"/>
    <col min="2" max="2" width="7.28515625" customWidth="1"/>
    <col min="6" max="6" width="11.7109375" bestFit="1" customWidth="1"/>
    <col min="9" max="9" width="14.140625" customWidth="1"/>
    <col min="10" max="10" width="6.85546875" customWidth="1"/>
    <col min="11" max="11" width="48.28515625" customWidth="1"/>
    <col min="12" max="12" width="5" customWidth="1"/>
    <col min="13" max="13" width="7.28515625" customWidth="1"/>
    <col min="14" max="14" width="4.42578125" customWidth="1"/>
    <col min="15" max="15" width="3.28515625" customWidth="1"/>
    <col min="16" max="16" width="5.28515625" customWidth="1"/>
    <col min="17" max="17" width="8.85546875" customWidth="1"/>
    <col min="18" max="18" width="21.140625" customWidth="1"/>
    <col min="19" max="19" width="20.7109375" bestFit="1" customWidth="1"/>
    <col min="20" max="21" width="12.42578125" bestFit="1" customWidth="1"/>
    <col min="22" max="22" width="23.28515625" customWidth="1"/>
    <col min="23" max="23" width="12.42578125" customWidth="1"/>
    <col min="25" max="25" width="2" bestFit="1" customWidth="1"/>
    <col min="26" max="26" width="4.7109375" bestFit="1" customWidth="1"/>
    <col min="28" max="28" width="8.28515625" customWidth="1"/>
    <col min="30" max="30" width="4.7109375" bestFit="1" customWidth="1"/>
    <col min="31" max="31" width="3" bestFit="1" customWidth="1"/>
  </cols>
  <sheetData>
    <row r="1" spans="1:34" x14ac:dyDescent="0.25">
      <c r="R1" t="s">
        <v>74</v>
      </c>
      <c r="S1">
        <v>7</v>
      </c>
      <c r="T1">
        <f>S1*S1</f>
        <v>49</v>
      </c>
      <c r="U1">
        <f>T1*T2</f>
        <v>784</v>
      </c>
    </row>
    <row r="2" spans="1:34" x14ac:dyDescent="0.25">
      <c r="E2" t="s">
        <v>75</v>
      </c>
      <c r="F2" t="s">
        <v>76</v>
      </c>
      <c r="G2" t="s">
        <v>77</v>
      </c>
      <c r="H2" t="s">
        <v>78</v>
      </c>
      <c r="K2" s="4">
        <f>600/8</f>
        <v>75</v>
      </c>
      <c r="L2" s="4"/>
      <c r="M2" s="4"/>
      <c r="N2">
        <f>50*K2</f>
        <v>3750</v>
      </c>
      <c r="R2" t="s">
        <v>79</v>
      </c>
      <c r="S2">
        <v>4</v>
      </c>
      <c r="T2">
        <f>S2*S2</f>
        <v>16</v>
      </c>
    </row>
    <row r="3" spans="1:34" x14ac:dyDescent="0.25">
      <c r="A3" t="s">
        <v>68</v>
      </c>
      <c r="B3">
        <f>-S1</f>
        <v>-7</v>
      </c>
      <c r="F3">
        <f>B5+B6</f>
        <v>-159</v>
      </c>
    </row>
    <row r="4" spans="1:34" ht="15.75" thickBot="1" x14ac:dyDescent="0.3">
      <c r="A4" t="s">
        <v>75</v>
      </c>
      <c r="B4">
        <f>S2</f>
        <v>4</v>
      </c>
      <c r="E4">
        <f>2*F4</f>
        <v>-318</v>
      </c>
      <c r="F4">
        <f>(B3+1)*(B3+1)*$T$2+(B7+1)*(B7+1)*$T$1-$T$1*$T$2</f>
        <v>-159</v>
      </c>
      <c r="G4">
        <f>B3</f>
        <v>-7</v>
      </c>
      <c r="H4">
        <f>B7</f>
        <v>0</v>
      </c>
      <c r="I4">
        <f>(2*G4+1)*S2*S2</f>
        <v>-208</v>
      </c>
      <c r="L4" t="s">
        <v>80</v>
      </c>
      <c r="V4" s="22"/>
      <c r="W4" s="22" t="s">
        <v>81</v>
      </c>
    </row>
    <row r="5" spans="1:34" x14ac:dyDescent="0.25">
      <c r="A5" t="s">
        <v>82</v>
      </c>
      <c r="B5">
        <f>(1+2*B3)*B4*B4</f>
        <v>-208</v>
      </c>
      <c r="L5" s="23" t="s">
        <v>82</v>
      </c>
      <c r="M5" s="24" t="s">
        <v>83</v>
      </c>
      <c r="N5" s="24" t="s">
        <v>77</v>
      </c>
      <c r="O5" s="24" t="s">
        <v>84</v>
      </c>
      <c r="P5" s="24" t="s">
        <v>85</v>
      </c>
      <c r="Q5" s="24" t="s">
        <v>86</v>
      </c>
      <c r="R5" s="24" t="s">
        <v>87</v>
      </c>
      <c r="S5" s="24" t="s">
        <v>88</v>
      </c>
      <c r="T5" s="24" t="s">
        <v>89</v>
      </c>
      <c r="U5" s="25" t="s">
        <v>90</v>
      </c>
      <c r="W5" s="22"/>
      <c r="X5" s="26"/>
      <c r="Y5" s="26"/>
    </row>
    <row r="6" spans="1:34" x14ac:dyDescent="0.25">
      <c r="A6" t="s">
        <v>83</v>
      </c>
      <c r="B6">
        <f>B3*B3</f>
        <v>49</v>
      </c>
      <c r="L6" s="27">
        <v>1</v>
      </c>
      <c r="M6" s="22">
        <v>1</v>
      </c>
      <c r="N6" s="22">
        <f>-7</f>
        <v>-7</v>
      </c>
      <c r="O6" s="22">
        <v>0</v>
      </c>
      <c r="P6" s="22">
        <f t="shared" ref="P6:P14" si="0">(N6)*(N6)*$T$2+(O6)*(O6)*$T$1-$U$1</f>
        <v>0</v>
      </c>
      <c r="Q6" s="22">
        <f>(N6+L6)*(N6+L6)*$T$2+(O6+M6)*(O6+M6)*$T$1-$U$1</f>
        <v>-159</v>
      </c>
      <c r="R6" s="28">
        <f t="shared" ref="R6:R14" si="1">(N6+L6)*(N6+L6)*$T$2+O6*O6*$T$1-$U$1</f>
        <v>-208</v>
      </c>
      <c r="S6" s="28">
        <f t="shared" ref="S6:S14" si="2">N6*N6*$T$2+(O6+M6)*(O6+M6)*$T$1-$U$1</f>
        <v>49</v>
      </c>
      <c r="T6" s="28">
        <f>Q6+S6</f>
        <v>-110</v>
      </c>
      <c r="U6" s="29">
        <f>Q6+R6</f>
        <v>-367</v>
      </c>
      <c r="V6" s="22"/>
      <c r="W6" s="28">
        <f>P6+(2*N6+1)*$T$2+(2*O6+1)*$T$1</f>
        <v>-159</v>
      </c>
      <c r="AG6" t="s">
        <v>91</v>
      </c>
      <c r="AH6" t="s">
        <v>92</v>
      </c>
    </row>
    <row r="7" spans="1:34" x14ac:dyDescent="0.25">
      <c r="A7" t="s">
        <v>67</v>
      </c>
      <c r="B7">
        <v>0</v>
      </c>
      <c r="L7" s="27">
        <v>1</v>
      </c>
      <c r="M7" s="22">
        <v>1</v>
      </c>
      <c r="N7" s="22">
        <v>-7</v>
      </c>
      <c r="O7" s="22">
        <v>1</v>
      </c>
      <c r="P7" s="22">
        <f t="shared" si="0"/>
        <v>49</v>
      </c>
      <c r="Q7" s="22">
        <f t="shared" ref="Q7:Q14" si="3">(N7+L7)*(N7+L7)*$T$2+(O7+M7)*(O7+M7)*$T$1-$U$1</f>
        <v>-12</v>
      </c>
      <c r="R7" s="28">
        <f t="shared" si="1"/>
        <v>-159</v>
      </c>
      <c r="S7" s="28">
        <f t="shared" si="2"/>
        <v>196</v>
      </c>
      <c r="T7" s="28">
        <f>Q7+S7</f>
        <v>184</v>
      </c>
      <c r="U7" s="29">
        <f>Q7+R7</f>
        <v>-171</v>
      </c>
      <c r="V7" s="28"/>
      <c r="W7" s="28">
        <f t="shared" ref="W7:W14" si="4">P7+(2*N7+1)*$T$2+(2*O7+1)*$T$1</f>
        <v>-12</v>
      </c>
      <c r="AA7" t="s">
        <v>144</v>
      </c>
    </row>
    <row r="8" spans="1:34" x14ac:dyDescent="0.25">
      <c r="L8" s="27">
        <v>1</v>
      </c>
      <c r="M8" s="22">
        <v>1</v>
      </c>
      <c r="N8" s="22">
        <v>-6</v>
      </c>
      <c r="O8" s="22">
        <v>2</v>
      </c>
      <c r="P8" s="22">
        <f t="shared" si="0"/>
        <v>-12</v>
      </c>
      <c r="Q8" s="22">
        <f t="shared" si="3"/>
        <v>57</v>
      </c>
      <c r="R8" s="28">
        <f t="shared" si="1"/>
        <v>-188</v>
      </c>
      <c r="S8" s="28">
        <f t="shared" si="2"/>
        <v>233</v>
      </c>
      <c r="T8" s="28">
        <f t="shared" ref="T8:T14" si="5">Q8+S8</f>
        <v>290</v>
      </c>
      <c r="U8" s="29">
        <f t="shared" ref="U8:U14" si="6">Q8+R8</f>
        <v>-131</v>
      </c>
      <c r="V8" s="28"/>
      <c r="W8" s="28">
        <f t="shared" si="4"/>
        <v>57</v>
      </c>
      <c r="AA8" t="s">
        <v>142</v>
      </c>
    </row>
    <row r="9" spans="1:34" x14ac:dyDescent="0.25">
      <c r="L9" s="27">
        <v>1</v>
      </c>
      <c r="M9" s="22">
        <v>1</v>
      </c>
      <c r="N9" s="22">
        <v>-5</v>
      </c>
      <c r="O9" s="22">
        <v>3</v>
      </c>
      <c r="P9" s="22">
        <f t="shared" si="0"/>
        <v>57</v>
      </c>
      <c r="Q9" s="22">
        <f t="shared" si="3"/>
        <v>256</v>
      </c>
      <c r="R9" s="28">
        <f t="shared" si="1"/>
        <v>-87</v>
      </c>
      <c r="S9" s="28">
        <f t="shared" si="2"/>
        <v>400</v>
      </c>
      <c r="T9" s="28">
        <f t="shared" si="5"/>
        <v>656</v>
      </c>
      <c r="U9" s="29">
        <f t="shared" si="6"/>
        <v>169</v>
      </c>
      <c r="V9" s="28"/>
      <c r="W9" s="28">
        <f t="shared" si="4"/>
        <v>256</v>
      </c>
      <c r="AA9" t="s">
        <v>143</v>
      </c>
    </row>
    <row r="10" spans="1:34" x14ac:dyDescent="0.25">
      <c r="L10" s="27">
        <v>1</v>
      </c>
      <c r="M10" s="22">
        <v>1</v>
      </c>
      <c r="N10" s="22">
        <v>-4</v>
      </c>
      <c r="O10" s="22">
        <v>3</v>
      </c>
      <c r="P10" s="22">
        <f t="shared" si="0"/>
        <v>-87</v>
      </c>
      <c r="Q10" s="22">
        <f t="shared" si="3"/>
        <v>144</v>
      </c>
      <c r="R10" s="28">
        <f t="shared" si="1"/>
        <v>-199</v>
      </c>
      <c r="S10" s="28">
        <f t="shared" si="2"/>
        <v>256</v>
      </c>
      <c r="T10" s="28">
        <f t="shared" si="5"/>
        <v>400</v>
      </c>
      <c r="U10" s="29">
        <f t="shared" si="6"/>
        <v>-55</v>
      </c>
      <c r="V10" s="28"/>
      <c r="W10" s="28">
        <f t="shared" si="4"/>
        <v>144</v>
      </c>
    </row>
    <row r="11" spans="1:34" x14ac:dyDescent="0.25">
      <c r="K11">
        <f>57+(-245)</f>
        <v>-188</v>
      </c>
      <c r="L11" s="27">
        <v>1</v>
      </c>
      <c r="M11" s="22">
        <v>1</v>
      </c>
      <c r="N11" s="22">
        <v>-3</v>
      </c>
      <c r="O11" s="22">
        <v>4</v>
      </c>
      <c r="P11" s="22">
        <f t="shared" si="0"/>
        <v>144</v>
      </c>
      <c r="Q11" s="22">
        <f t="shared" si="3"/>
        <v>505</v>
      </c>
      <c r="R11" s="28">
        <f t="shared" si="1"/>
        <v>64</v>
      </c>
      <c r="S11" s="28">
        <f t="shared" si="2"/>
        <v>585</v>
      </c>
      <c r="T11" s="28">
        <f t="shared" si="5"/>
        <v>1090</v>
      </c>
      <c r="U11" s="29">
        <f t="shared" si="6"/>
        <v>569</v>
      </c>
      <c r="V11" s="28"/>
      <c r="W11" s="28">
        <f t="shared" si="4"/>
        <v>505</v>
      </c>
    </row>
    <row r="12" spans="1:34" x14ac:dyDescent="0.25">
      <c r="K12">
        <f>-188-57</f>
        <v>-245</v>
      </c>
      <c r="L12" s="27">
        <v>1</v>
      </c>
      <c r="M12" s="22">
        <v>1</v>
      </c>
      <c r="N12" s="22">
        <v>-2</v>
      </c>
      <c r="O12" s="22">
        <v>4</v>
      </c>
      <c r="P12" s="22">
        <f t="shared" si="0"/>
        <v>64</v>
      </c>
      <c r="Q12" s="22">
        <f t="shared" si="3"/>
        <v>457</v>
      </c>
      <c r="R12" s="28">
        <f t="shared" si="1"/>
        <v>16</v>
      </c>
      <c r="S12" s="28">
        <f t="shared" si="2"/>
        <v>505</v>
      </c>
      <c r="T12" s="28">
        <f t="shared" si="5"/>
        <v>962</v>
      </c>
      <c r="U12" s="29">
        <f t="shared" si="6"/>
        <v>473</v>
      </c>
      <c r="V12" s="28"/>
      <c r="W12" s="28">
        <f t="shared" si="4"/>
        <v>457</v>
      </c>
    </row>
    <row r="13" spans="1:34" x14ac:dyDescent="0.25">
      <c r="K13">
        <f>7*7*2</f>
        <v>98</v>
      </c>
      <c r="L13" s="27">
        <v>1</v>
      </c>
      <c r="M13" s="22">
        <v>1</v>
      </c>
      <c r="N13" s="22">
        <v>-1</v>
      </c>
      <c r="O13" s="22">
        <v>4</v>
      </c>
      <c r="P13" s="22">
        <f t="shared" si="0"/>
        <v>16</v>
      </c>
      <c r="Q13" s="22">
        <f t="shared" si="3"/>
        <v>441</v>
      </c>
      <c r="R13" s="28">
        <f t="shared" si="1"/>
        <v>0</v>
      </c>
      <c r="S13" s="28">
        <f t="shared" si="2"/>
        <v>457</v>
      </c>
      <c r="T13" s="28">
        <f t="shared" si="5"/>
        <v>898</v>
      </c>
      <c r="U13" s="29">
        <f t="shared" si="6"/>
        <v>441</v>
      </c>
      <c r="V13" s="28"/>
      <c r="W13" s="28">
        <f t="shared" si="4"/>
        <v>441</v>
      </c>
      <c r="Z13" t="s">
        <v>93</v>
      </c>
      <c r="AA13" s="30" t="s">
        <v>94</v>
      </c>
    </row>
    <row r="14" spans="1:34" x14ac:dyDescent="0.25">
      <c r="K14">
        <f>K12+K13</f>
        <v>-147</v>
      </c>
      <c r="L14" s="27">
        <v>1</v>
      </c>
      <c r="M14" s="22">
        <v>1</v>
      </c>
      <c r="N14" s="22">
        <v>0</v>
      </c>
      <c r="O14" s="22">
        <v>4</v>
      </c>
      <c r="P14" s="22">
        <f t="shared" si="0"/>
        <v>0</v>
      </c>
      <c r="Q14" s="22">
        <f t="shared" si="3"/>
        <v>457</v>
      </c>
      <c r="R14" s="28">
        <f t="shared" si="1"/>
        <v>16</v>
      </c>
      <c r="S14" s="28">
        <f t="shared" si="2"/>
        <v>441</v>
      </c>
      <c r="T14" s="28">
        <f t="shared" si="5"/>
        <v>898</v>
      </c>
      <c r="U14" s="29">
        <f t="shared" si="6"/>
        <v>473</v>
      </c>
      <c r="V14" s="28"/>
      <c r="W14" s="28">
        <f t="shared" si="4"/>
        <v>457</v>
      </c>
      <c r="AA14" t="s">
        <v>95</v>
      </c>
    </row>
    <row r="15" spans="1:34" x14ac:dyDescent="0.25">
      <c r="K15">
        <f>K12-K13</f>
        <v>-343</v>
      </c>
      <c r="L15" s="31"/>
      <c r="M15" s="28"/>
      <c r="N15" s="28"/>
      <c r="O15" s="28"/>
      <c r="P15" s="28"/>
      <c r="Q15" s="28"/>
      <c r="R15" s="28"/>
      <c r="S15" s="28"/>
      <c r="T15" s="28"/>
      <c r="U15" s="29"/>
      <c r="V15" s="28"/>
      <c r="W15" s="28"/>
      <c r="AA15" t="s">
        <v>96</v>
      </c>
    </row>
    <row r="16" spans="1:34" x14ac:dyDescent="0.25">
      <c r="L16" s="31" t="s">
        <v>97</v>
      </c>
      <c r="M16" s="28"/>
      <c r="N16" s="28"/>
      <c r="O16" s="28"/>
      <c r="P16" s="28"/>
      <c r="Q16" s="28"/>
      <c r="R16" s="28"/>
      <c r="S16" s="28"/>
      <c r="T16" s="28"/>
      <c r="U16" s="29"/>
      <c r="V16" s="28"/>
      <c r="W16" s="28"/>
      <c r="AA16" s="30" t="s">
        <v>98</v>
      </c>
    </row>
    <row r="17" spans="1:32" x14ac:dyDescent="0.25">
      <c r="L17" s="27" t="s">
        <v>82</v>
      </c>
      <c r="M17" s="22" t="s">
        <v>83</v>
      </c>
      <c r="N17" s="22" t="s">
        <v>77</v>
      </c>
      <c r="O17" s="22" t="s">
        <v>84</v>
      </c>
      <c r="P17" s="22" t="s">
        <v>85</v>
      </c>
      <c r="Q17" s="22" t="s">
        <v>86</v>
      </c>
      <c r="R17" s="22" t="s">
        <v>87</v>
      </c>
      <c r="S17" s="22" t="s">
        <v>99</v>
      </c>
      <c r="T17" s="22" t="s">
        <v>100</v>
      </c>
      <c r="U17" s="32" t="s">
        <v>101</v>
      </c>
      <c r="V17" s="22"/>
      <c r="W17" s="30" t="s">
        <v>94</v>
      </c>
      <c r="Z17" t="s">
        <v>102</v>
      </c>
      <c r="AA17" t="s">
        <v>103</v>
      </c>
      <c r="AC17" t="s">
        <v>104</v>
      </c>
      <c r="AF17" t="s">
        <v>105</v>
      </c>
    </row>
    <row r="18" spans="1:32" x14ac:dyDescent="0.25">
      <c r="L18" s="27">
        <v>1</v>
      </c>
      <c r="M18" s="22">
        <v>-1</v>
      </c>
      <c r="N18" s="22">
        <v>0</v>
      </c>
      <c r="O18" s="22">
        <v>4</v>
      </c>
      <c r="P18" s="22">
        <f t="shared" ref="P18:P26" si="7">(N18)*(N18)*$T$2+(O18)*(O18)*$T$1-$U$1</f>
        <v>0</v>
      </c>
      <c r="Q18" s="22">
        <f t="shared" ref="Q18:Q26" si="8">(N18+L18)*(N18+L18)*$T$2+(O18+M18)*(O18+M18)*$T$1-$U$1</f>
        <v>-327</v>
      </c>
      <c r="R18" s="28">
        <f t="shared" ref="R18:R26" si="9">(N18+L18)*(N18+L18)*$T$2+O18*O18*$T$1-$U$1</f>
        <v>16</v>
      </c>
      <c r="S18" s="28">
        <f t="shared" ref="S18:S26" si="10">N18*N18*$T$2+(O18+M18)*(O18+M18)*$T$1-$U$1</f>
        <v>-343</v>
      </c>
      <c r="T18" s="28">
        <f>Q18+S18</f>
        <v>-670</v>
      </c>
      <c r="U18" s="29">
        <f>Q18+R18</f>
        <v>-311</v>
      </c>
      <c r="V18" s="28">
        <f>Q18-Q19</f>
        <v>-48</v>
      </c>
      <c r="W18" s="28">
        <f>P18+(2*N18+1)*$T$2-(2*O18-1)*$T$1</f>
        <v>-327</v>
      </c>
      <c r="Z18">
        <f t="shared" ref="Z18:Z26" si="11">W18+(2*O18-1)*$T$1</f>
        <v>16</v>
      </c>
      <c r="AA18">
        <f t="shared" ref="AA18:AA26" si="12">W18-(2*N18+1)*$T$2</f>
        <v>-343</v>
      </c>
      <c r="AC18">
        <f>2*W18</f>
        <v>-654</v>
      </c>
      <c r="AD18">
        <f>-Z18</f>
        <v>-16</v>
      </c>
    </row>
    <row r="19" spans="1:32" x14ac:dyDescent="0.25">
      <c r="L19" s="27">
        <v>1</v>
      </c>
      <c r="M19" s="22">
        <v>-1</v>
      </c>
      <c r="N19" s="22">
        <v>1</v>
      </c>
      <c r="O19" s="22">
        <v>4</v>
      </c>
      <c r="P19" s="22">
        <f t="shared" si="7"/>
        <v>16</v>
      </c>
      <c r="Q19" s="22">
        <f t="shared" si="8"/>
        <v>-279</v>
      </c>
      <c r="R19" s="28">
        <f t="shared" si="9"/>
        <v>64</v>
      </c>
      <c r="S19" s="28">
        <f t="shared" si="10"/>
        <v>-327</v>
      </c>
      <c r="T19" s="28">
        <f t="shared" ref="T19:T26" si="13">Q19+S19</f>
        <v>-606</v>
      </c>
      <c r="U19" s="29">
        <f t="shared" ref="U19:U26" si="14">Q19+R19</f>
        <v>-215</v>
      </c>
      <c r="V19" s="28">
        <f>Q19-Q20</f>
        <v>-80</v>
      </c>
      <c r="W19" s="28">
        <f>P19+(2*N19+1)*$T$2-(2*O19-1)*$T$1</f>
        <v>-279</v>
      </c>
      <c r="Z19">
        <f t="shared" si="11"/>
        <v>64</v>
      </c>
      <c r="AA19">
        <f t="shared" si="12"/>
        <v>-327</v>
      </c>
      <c r="AC19">
        <f>2*W19</f>
        <v>-558</v>
      </c>
      <c r="AD19">
        <f>-Z19</f>
        <v>-64</v>
      </c>
    </row>
    <row r="20" spans="1:32" x14ac:dyDescent="0.25">
      <c r="K20" t="s">
        <v>80</v>
      </c>
      <c r="L20" s="27">
        <v>1</v>
      </c>
      <c r="M20" s="22">
        <v>-1</v>
      </c>
      <c r="N20" s="22">
        <v>2</v>
      </c>
      <c r="O20" s="22">
        <v>4</v>
      </c>
      <c r="P20" s="22">
        <f t="shared" si="7"/>
        <v>64</v>
      </c>
      <c r="Q20" s="22">
        <f t="shared" si="8"/>
        <v>-199</v>
      </c>
      <c r="R20" s="28">
        <f t="shared" si="9"/>
        <v>144</v>
      </c>
      <c r="S20" s="28">
        <f t="shared" si="10"/>
        <v>-279</v>
      </c>
      <c r="T20" s="28">
        <f t="shared" si="13"/>
        <v>-478</v>
      </c>
      <c r="U20" s="29">
        <f t="shared" si="14"/>
        <v>-55</v>
      </c>
      <c r="V20" s="28">
        <f>Q20-Q21</f>
        <v>-112</v>
      </c>
      <c r="W20" s="28">
        <f>P20+(2*N20+1)*$T$2-(2*O20-1)*$T$1</f>
        <v>-199</v>
      </c>
      <c r="Z20">
        <f t="shared" si="11"/>
        <v>144</v>
      </c>
      <c r="AA20">
        <f t="shared" si="12"/>
        <v>-279</v>
      </c>
      <c r="AC20">
        <f>2*W20</f>
        <v>-398</v>
      </c>
      <c r="AD20">
        <f>-Z20</f>
        <v>-144</v>
      </c>
    </row>
    <row r="21" spans="1:32" x14ac:dyDescent="0.25">
      <c r="L21" s="27">
        <v>1</v>
      </c>
      <c r="M21" s="22">
        <v>-1</v>
      </c>
      <c r="N21" s="22">
        <v>3</v>
      </c>
      <c r="O21" s="22">
        <v>4</v>
      </c>
      <c r="P21" s="22">
        <f t="shared" si="7"/>
        <v>144</v>
      </c>
      <c r="Q21" s="22">
        <f t="shared" si="8"/>
        <v>-87</v>
      </c>
      <c r="R21" s="28">
        <f t="shared" si="9"/>
        <v>256</v>
      </c>
      <c r="S21" s="28">
        <f t="shared" si="10"/>
        <v>-199</v>
      </c>
      <c r="T21" s="28">
        <f t="shared" si="13"/>
        <v>-286</v>
      </c>
      <c r="U21" s="29">
        <f t="shared" si="14"/>
        <v>169</v>
      </c>
      <c r="V21" s="28">
        <f>Q21-Q22</f>
        <v>101</v>
      </c>
      <c r="W21" s="28">
        <f t="shared" ref="W21:W26" si="15">P21+(2*N21+1)*$T$2-(2*O21-1)*$T$1</f>
        <v>-87</v>
      </c>
      <c r="Z21">
        <f t="shared" si="11"/>
        <v>256</v>
      </c>
      <c r="AA21">
        <f t="shared" si="12"/>
        <v>-199</v>
      </c>
      <c r="AC21">
        <f>2*W21</f>
        <v>-174</v>
      </c>
      <c r="AD21">
        <f>-Z21</f>
        <v>-256</v>
      </c>
    </row>
    <row r="22" spans="1:32" ht="21" customHeight="1" x14ac:dyDescent="0.25">
      <c r="A22" s="33" t="s">
        <v>106</v>
      </c>
      <c r="L22" s="27">
        <v>1</v>
      </c>
      <c r="M22" s="22">
        <v>-1</v>
      </c>
      <c r="N22" s="22">
        <v>4</v>
      </c>
      <c r="O22" s="22">
        <v>3</v>
      </c>
      <c r="P22" s="22">
        <f t="shared" si="7"/>
        <v>-87</v>
      </c>
      <c r="Q22" s="22">
        <f t="shared" si="8"/>
        <v>-188</v>
      </c>
      <c r="R22" s="28">
        <f t="shared" si="9"/>
        <v>57</v>
      </c>
      <c r="S22" s="28">
        <f t="shared" si="10"/>
        <v>-332</v>
      </c>
      <c r="T22" s="28">
        <f t="shared" si="13"/>
        <v>-520</v>
      </c>
      <c r="U22" s="29">
        <f t="shared" si="14"/>
        <v>-131</v>
      </c>
      <c r="V22" s="28"/>
      <c r="W22" s="28">
        <f t="shared" si="15"/>
        <v>-188</v>
      </c>
      <c r="Z22">
        <f t="shared" si="11"/>
        <v>57</v>
      </c>
      <c r="AA22">
        <f t="shared" si="12"/>
        <v>-332</v>
      </c>
    </row>
    <row r="23" spans="1:32" x14ac:dyDescent="0.25">
      <c r="L23" s="27">
        <v>1</v>
      </c>
      <c r="M23" s="22">
        <v>-1</v>
      </c>
      <c r="N23" s="22">
        <v>5</v>
      </c>
      <c r="O23" s="22">
        <v>3</v>
      </c>
      <c r="P23" s="22">
        <f t="shared" si="7"/>
        <v>57</v>
      </c>
      <c r="Q23" s="22">
        <f t="shared" si="8"/>
        <v>-12</v>
      </c>
      <c r="R23" s="28">
        <f t="shared" si="9"/>
        <v>233</v>
      </c>
      <c r="S23" s="28">
        <f t="shared" si="10"/>
        <v>-188</v>
      </c>
      <c r="T23" s="28">
        <f t="shared" si="13"/>
        <v>-200</v>
      </c>
      <c r="U23" s="29">
        <f t="shared" si="14"/>
        <v>221</v>
      </c>
      <c r="V23" s="28"/>
      <c r="W23" s="28">
        <f t="shared" si="15"/>
        <v>-12</v>
      </c>
      <c r="Z23">
        <f t="shared" si="11"/>
        <v>233</v>
      </c>
      <c r="AA23">
        <f t="shared" si="12"/>
        <v>-188</v>
      </c>
    </row>
    <row r="24" spans="1:32" ht="22.9" customHeight="1" x14ac:dyDescent="0.25">
      <c r="A24" s="33" t="s">
        <v>107</v>
      </c>
      <c r="L24" s="27">
        <v>1</v>
      </c>
      <c r="M24" s="22">
        <v>-1</v>
      </c>
      <c r="N24" s="22">
        <v>6</v>
      </c>
      <c r="O24" s="22">
        <v>2</v>
      </c>
      <c r="P24" s="22">
        <f t="shared" si="7"/>
        <v>-12</v>
      </c>
      <c r="Q24" s="22">
        <f t="shared" si="8"/>
        <v>49</v>
      </c>
      <c r="R24" s="28">
        <f t="shared" si="9"/>
        <v>196</v>
      </c>
      <c r="S24" s="28">
        <f t="shared" si="10"/>
        <v>-159</v>
      </c>
      <c r="T24" s="28">
        <f t="shared" si="13"/>
        <v>-110</v>
      </c>
      <c r="U24" s="29">
        <f t="shared" si="14"/>
        <v>245</v>
      </c>
      <c r="V24" s="28"/>
      <c r="W24" s="28">
        <f t="shared" si="15"/>
        <v>49</v>
      </c>
      <c r="Z24">
        <f t="shared" si="11"/>
        <v>196</v>
      </c>
      <c r="AA24">
        <f t="shared" si="12"/>
        <v>-159</v>
      </c>
    </row>
    <row r="25" spans="1:32" x14ac:dyDescent="0.25">
      <c r="L25" s="27">
        <v>1</v>
      </c>
      <c r="M25" s="22">
        <v>-1</v>
      </c>
      <c r="N25" s="22">
        <v>7</v>
      </c>
      <c r="O25" s="22">
        <v>1</v>
      </c>
      <c r="P25" s="22">
        <f t="shared" si="7"/>
        <v>49</v>
      </c>
      <c r="Q25" s="22">
        <f t="shared" si="8"/>
        <v>240</v>
      </c>
      <c r="R25" s="28">
        <f t="shared" si="9"/>
        <v>289</v>
      </c>
      <c r="S25" s="28">
        <f t="shared" si="10"/>
        <v>0</v>
      </c>
      <c r="T25" s="28">
        <f t="shared" si="13"/>
        <v>240</v>
      </c>
      <c r="U25" s="29">
        <f t="shared" si="14"/>
        <v>529</v>
      </c>
      <c r="V25" s="28"/>
      <c r="W25" s="28">
        <f t="shared" si="15"/>
        <v>240</v>
      </c>
      <c r="Z25">
        <f t="shared" si="11"/>
        <v>289</v>
      </c>
      <c r="AA25">
        <f t="shared" si="12"/>
        <v>0</v>
      </c>
    </row>
    <row r="26" spans="1:32" x14ac:dyDescent="0.25">
      <c r="L26" s="27">
        <v>1</v>
      </c>
      <c r="M26" s="22">
        <v>-1</v>
      </c>
      <c r="N26" s="22">
        <v>7</v>
      </c>
      <c r="O26" s="22">
        <v>0</v>
      </c>
      <c r="P26" s="22">
        <f t="shared" si="7"/>
        <v>0</v>
      </c>
      <c r="Q26" s="22">
        <f t="shared" si="8"/>
        <v>289</v>
      </c>
      <c r="R26" s="28">
        <f t="shared" si="9"/>
        <v>240</v>
      </c>
      <c r="S26" s="28">
        <f t="shared" si="10"/>
        <v>49</v>
      </c>
      <c r="T26" s="28">
        <f t="shared" si="13"/>
        <v>338</v>
      </c>
      <c r="U26" s="29">
        <f t="shared" si="14"/>
        <v>529</v>
      </c>
      <c r="V26" s="28"/>
      <c r="W26" s="28">
        <f t="shared" si="15"/>
        <v>289</v>
      </c>
      <c r="Z26">
        <f t="shared" si="11"/>
        <v>240</v>
      </c>
      <c r="AA26">
        <f t="shared" si="12"/>
        <v>49</v>
      </c>
    </row>
    <row r="27" spans="1:32" x14ac:dyDescent="0.25">
      <c r="F27" t="s">
        <v>108</v>
      </c>
      <c r="L27" s="31"/>
      <c r="M27" s="28"/>
      <c r="N27" s="28"/>
      <c r="O27" s="28"/>
      <c r="P27" s="28"/>
      <c r="Q27" s="28"/>
      <c r="R27" s="28"/>
      <c r="S27" s="28"/>
      <c r="T27" s="28"/>
      <c r="U27" s="29"/>
      <c r="V27" s="28"/>
      <c r="W27" s="28"/>
    </row>
    <row r="28" spans="1:32" x14ac:dyDescent="0.25">
      <c r="L28" s="31"/>
      <c r="M28" s="28"/>
      <c r="N28" s="28"/>
      <c r="O28" s="28"/>
      <c r="P28" s="28"/>
      <c r="Q28" s="28"/>
      <c r="R28" s="28"/>
      <c r="S28" s="28"/>
      <c r="T28" s="28"/>
      <c r="U28" s="29"/>
      <c r="V28" s="28"/>
      <c r="W28" s="28"/>
    </row>
    <row r="29" spans="1:32" x14ac:dyDescent="0.25">
      <c r="F29" t="s">
        <v>109</v>
      </c>
      <c r="I29" t="s">
        <v>110</v>
      </c>
      <c r="L29" s="31" t="s">
        <v>111</v>
      </c>
      <c r="M29" s="28"/>
      <c r="N29" s="28"/>
      <c r="O29" s="28"/>
      <c r="P29" s="28"/>
      <c r="Q29" s="28"/>
      <c r="R29" s="28"/>
      <c r="S29" s="28"/>
      <c r="T29" s="28"/>
      <c r="U29" s="29"/>
      <c r="V29" s="28"/>
      <c r="W29" s="28"/>
      <c r="AA29" t="s">
        <v>112</v>
      </c>
    </row>
    <row r="30" spans="1:32" x14ac:dyDescent="0.25">
      <c r="F30" t="s">
        <v>113</v>
      </c>
      <c r="L30" s="27" t="s">
        <v>82</v>
      </c>
      <c r="M30" s="22" t="s">
        <v>83</v>
      </c>
      <c r="N30" s="22" t="s">
        <v>77</v>
      </c>
      <c r="O30" s="22" t="s">
        <v>84</v>
      </c>
      <c r="P30" s="22" t="s">
        <v>85</v>
      </c>
      <c r="Q30" s="22" t="s">
        <v>86</v>
      </c>
      <c r="R30" s="22" t="s">
        <v>114</v>
      </c>
      <c r="S30" s="22" t="s">
        <v>88</v>
      </c>
      <c r="T30" s="22" t="s">
        <v>115</v>
      </c>
      <c r="U30" s="32" t="s">
        <v>116</v>
      </c>
      <c r="V30" s="22"/>
      <c r="W30" s="22"/>
      <c r="Z30" t="s">
        <v>117</v>
      </c>
      <c r="AA30" t="s">
        <v>118</v>
      </c>
    </row>
    <row r="31" spans="1:32" x14ac:dyDescent="0.25">
      <c r="L31" s="27">
        <v>-1</v>
      </c>
      <c r="M31" s="22">
        <v>-1</v>
      </c>
      <c r="N31" s="22">
        <v>7</v>
      </c>
      <c r="O31" s="22">
        <v>0</v>
      </c>
      <c r="P31" s="22">
        <f t="shared" ref="P31:P39" si="16">(N31)*(N31)*$T$2+(O31)*(O31)*$T$1-$U$1</f>
        <v>0</v>
      </c>
      <c r="Q31" s="22">
        <f t="shared" ref="Q31:Q39" si="17">(N31+L31)*(N31+L31)*$T$2+(O31+M31)*(O31+M31)*$T$1-$U$1</f>
        <v>-159</v>
      </c>
      <c r="R31" s="28">
        <f t="shared" ref="R31:R39" si="18">(N31+L31)*(N31+L31)*$T$2+O31*O31*$T$1-$U$1</f>
        <v>-208</v>
      </c>
      <c r="S31" s="28">
        <f t="shared" ref="S31:S39" si="19">N31*N31*$T$2+(O31+M31)*(O31+M31)*$T$1-$U$1</f>
        <v>49</v>
      </c>
      <c r="T31" s="28">
        <f>Q31+S31</f>
        <v>-110</v>
      </c>
      <c r="U31" s="29">
        <f>Q31+R31</f>
        <v>-367</v>
      </c>
      <c r="V31" s="28"/>
      <c r="W31" s="28">
        <f t="shared" ref="W31:W39" si="20">P31-(2*N31-1)*$T$2-(2*O31-1)*$T$1</f>
        <v>-159</v>
      </c>
      <c r="AA31" s="30" t="s">
        <v>119</v>
      </c>
      <c r="AD31" t="s">
        <v>120</v>
      </c>
    </row>
    <row r="32" spans="1:32" x14ac:dyDescent="0.25">
      <c r="J32" t="s">
        <v>121</v>
      </c>
      <c r="K32" t="s">
        <v>121</v>
      </c>
      <c r="L32" s="27">
        <v>-1</v>
      </c>
      <c r="M32" s="22">
        <v>-1</v>
      </c>
      <c r="N32" s="22">
        <v>7</v>
      </c>
      <c r="O32" s="22">
        <v>-1</v>
      </c>
      <c r="P32" s="22">
        <f t="shared" si="16"/>
        <v>49</v>
      </c>
      <c r="Q32" s="22">
        <f t="shared" si="17"/>
        <v>-12</v>
      </c>
      <c r="R32" s="28">
        <f t="shared" si="18"/>
        <v>-159</v>
      </c>
      <c r="S32" s="28">
        <f t="shared" si="19"/>
        <v>196</v>
      </c>
      <c r="T32" s="28">
        <f>Q32+S32</f>
        <v>184</v>
      </c>
      <c r="U32" s="29">
        <f>Q32+R32</f>
        <v>-171</v>
      </c>
      <c r="V32" s="28"/>
      <c r="W32" s="28">
        <f t="shared" si="20"/>
        <v>-12</v>
      </c>
      <c r="AA32" t="s">
        <v>122</v>
      </c>
    </row>
    <row r="33" spans="6:27" x14ac:dyDescent="0.25">
      <c r="F33" t="s">
        <v>123</v>
      </c>
      <c r="J33" t="s">
        <v>94</v>
      </c>
      <c r="K33" t="s">
        <v>81</v>
      </c>
      <c r="L33" s="27">
        <v>-1</v>
      </c>
      <c r="M33" s="22">
        <v>-1</v>
      </c>
      <c r="N33" s="22">
        <v>6</v>
      </c>
      <c r="O33" s="22">
        <v>-2</v>
      </c>
      <c r="P33" s="22">
        <f t="shared" si="16"/>
        <v>-12</v>
      </c>
      <c r="Q33" s="22">
        <f t="shared" si="17"/>
        <v>57</v>
      </c>
      <c r="R33" s="28">
        <f t="shared" si="18"/>
        <v>-188</v>
      </c>
      <c r="S33" s="28">
        <f t="shared" si="19"/>
        <v>233</v>
      </c>
      <c r="T33" s="28">
        <f t="shared" ref="T33:T39" si="21">Q33+S33</f>
        <v>290</v>
      </c>
      <c r="U33" s="29">
        <f t="shared" ref="U33:U39" si="22">Q33+R33</f>
        <v>-131</v>
      </c>
      <c r="V33" s="28"/>
      <c r="W33" s="28">
        <f t="shared" si="20"/>
        <v>57</v>
      </c>
      <c r="AA33" s="30" t="s">
        <v>124</v>
      </c>
    </row>
    <row r="34" spans="6:27" x14ac:dyDescent="0.25">
      <c r="I34" t="s">
        <v>125</v>
      </c>
      <c r="K34" s="34" t="s">
        <v>126</v>
      </c>
      <c r="L34" s="27">
        <v>-1</v>
      </c>
      <c r="M34" s="22">
        <v>-1</v>
      </c>
      <c r="N34" s="22">
        <v>5</v>
      </c>
      <c r="O34" s="22">
        <v>-3</v>
      </c>
      <c r="P34" s="22">
        <f t="shared" si="16"/>
        <v>57</v>
      </c>
      <c r="Q34" s="22">
        <f t="shared" si="17"/>
        <v>256</v>
      </c>
      <c r="R34" s="28">
        <f t="shared" si="18"/>
        <v>-87</v>
      </c>
      <c r="S34" s="28">
        <f t="shared" si="19"/>
        <v>400</v>
      </c>
      <c r="T34" s="28">
        <f t="shared" si="21"/>
        <v>656</v>
      </c>
      <c r="U34" s="29">
        <f t="shared" si="22"/>
        <v>169</v>
      </c>
      <c r="V34" s="28"/>
      <c r="W34" s="28">
        <f t="shared" si="20"/>
        <v>256</v>
      </c>
    </row>
    <row r="35" spans="6:27" x14ac:dyDescent="0.25">
      <c r="I35" s="34" t="s">
        <v>127</v>
      </c>
      <c r="K35" t="s">
        <v>128</v>
      </c>
      <c r="L35" s="27">
        <v>-1</v>
      </c>
      <c r="M35" s="22">
        <v>-1</v>
      </c>
      <c r="N35" s="22">
        <v>4</v>
      </c>
      <c r="O35" s="22">
        <v>-3</v>
      </c>
      <c r="P35" s="22">
        <f t="shared" si="16"/>
        <v>-87</v>
      </c>
      <c r="Q35" s="22">
        <f t="shared" si="17"/>
        <v>144</v>
      </c>
      <c r="R35" s="28">
        <f t="shared" si="18"/>
        <v>-199</v>
      </c>
      <c r="S35" s="28">
        <f t="shared" si="19"/>
        <v>256</v>
      </c>
      <c r="T35" s="28">
        <f t="shared" si="21"/>
        <v>400</v>
      </c>
      <c r="U35" s="29">
        <f t="shared" si="22"/>
        <v>-55</v>
      </c>
      <c r="V35" s="28"/>
      <c r="W35" s="28">
        <f t="shared" si="20"/>
        <v>144</v>
      </c>
    </row>
    <row r="36" spans="6:27" x14ac:dyDescent="0.25">
      <c r="I36" t="s">
        <v>129</v>
      </c>
      <c r="L36" s="27">
        <v>-1</v>
      </c>
      <c r="M36" s="22">
        <v>-1</v>
      </c>
      <c r="N36" s="22">
        <v>3</v>
      </c>
      <c r="O36" s="22">
        <v>-4</v>
      </c>
      <c r="P36" s="22">
        <f t="shared" si="16"/>
        <v>144</v>
      </c>
      <c r="Q36" s="22">
        <f t="shared" si="17"/>
        <v>505</v>
      </c>
      <c r="R36" s="28">
        <f t="shared" si="18"/>
        <v>64</v>
      </c>
      <c r="S36" s="28">
        <f t="shared" si="19"/>
        <v>585</v>
      </c>
      <c r="T36" s="28">
        <f t="shared" si="21"/>
        <v>1090</v>
      </c>
      <c r="U36" s="29">
        <f t="shared" si="22"/>
        <v>569</v>
      </c>
      <c r="V36" s="28"/>
      <c r="W36" s="28">
        <f t="shared" si="20"/>
        <v>505</v>
      </c>
    </row>
    <row r="37" spans="6:27" x14ac:dyDescent="0.25">
      <c r="I37" s="34" t="s">
        <v>130</v>
      </c>
      <c r="L37" s="27">
        <v>-1</v>
      </c>
      <c r="M37" s="22">
        <v>-1</v>
      </c>
      <c r="N37" s="22">
        <v>2</v>
      </c>
      <c r="O37" s="22">
        <v>-4</v>
      </c>
      <c r="P37" s="22">
        <f t="shared" si="16"/>
        <v>64</v>
      </c>
      <c r="Q37" s="22">
        <f t="shared" si="17"/>
        <v>457</v>
      </c>
      <c r="R37" s="28">
        <f t="shared" si="18"/>
        <v>16</v>
      </c>
      <c r="S37" s="28">
        <f t="shared" si="19"/>
        <v>505</v>
      </c>
      <c r="T37" s="28">
        <f t="shared" si="21"/>
        <v>962</v>
      </c>
      <c r="U37" s="29">
        <f t="shared" si="22"/>
        <v>473</v>
      </c>
      <c r="V37" s="28"/>
      <c r="W37" s="28">
        <f t="shared" si="20"/>
        <v>457</v>
      </c>
    </row>
    <row r="38" spans="6:27" x14ac:dyDescent="0.25">
      <c r="L38" s="27">
        <v>-1</v>
      </c>
      <c r="M38" s="22">
        <v>-1</v>
      </c>
      <c r="N38" s="22">
        <v>1</v>
      </c>
      <c r="O38" s="22">
        <v>-4</v>
      </c>
      <c r="P38" s="22">
        <f t="shared" si="16"/>
        <v>16</v>
      </c>
      <c r="Q38" s="22">
        <f t="shared" si="17"/>
        <v>441</v>
      </c>
      <c r="R38" s="28">
        <f t="shared" si="18"/>
        <v>0</v>
      </c>
      <c r="S38" s="28">
        <f t="shared" si="19"/>
        <v>457</v>
      </c>
      <c r="T38" s="28">
        <f t="shared" si="21"/>
        <v>898</v>
      </c>
      <c r="U38" s="29">
        <f t="shared" si="22"/>
        <v>441</v>
      </c>
      <c r="V38" s="28"/>
      <c r="W38" s="28">
        <f t="shared" si="20"/>
        <v>441</v>
      </c>
    </row>
    <row r="39" spans="6:27" x14ac:dyDescent="0.25">
      <c r="G39" t="s">
        <v>131</v>
      </c>
      <c r="J39" t="s">
        <v>132</v>
      </c>
      <c r="L39" s="27">
        <v>-1</v>
      </c>
      <c r="M39" s="22">
        <v>-1</v>
      </c>
      <c r="N39" s="22">
        <v>0</v>
      </c>
      <c r="O39" s="22">
        <v>-4</v>
      </c>
      <c r="P39" s="22">
        <f t="shared" si="16"/>
        <v>0</v>
      </c>
      <c r="Q39" s="22">
        <f t="shared" si="17"/>
        <v>457</v>
      </c>
      <c r="R39" s="28">
        <f t="shared" si="18"/>
        <v>16</v>
      </c>
      <c r="S39" s="28">
        <f t="shared" si="19"/>
        <v>441</v>
      </c>
      <c r="T39" s="28">
        <f t="shared" si="21"/>
        <v>898</v>
      </c>
      <c r="U39" s="29">
        <f t="shared" si="22"/>
        <v>473</v>
      </c>
      <c r="V39" s="28"/>
      <c r="W39" s="28">
        <f t="shared" si="20"/>
        <v>457</v>
      </c>
    </row>
    <row r="40" spans="6:27" x14ac:dyDescent="0.25">
      <c r="G40" t="s">
        <v>133</v>
      </c>
      <c r="L40" s="31" t="s">
        <v>134</v>
      </c>
      <c r="M40" s="28"/>
      <c r="N40" s="28"/>
      <c r="O40" s="28"/>
      <c r="P40" s="28"/>
      <c r="Q40" s="28"/>
      <c r="R40" s="28"/>
      <c r="S40" s="28"/>
      <c r="T40" s="28"/>
      <c r="U40" s="29"/>
      <c r="V40" s="28"/>
      <c r="W40" s="28"/>
      <c r="Z40" t="s">
        <v>134</v>
      </c>
      <c r="AA40" t="s">
        <v>112</v>
      </c>
    </row>
    <row r="41" spans="6:27" x14ac:dyDescent="0.25">
      <c r="G41" t="s">
        <v>135</v>
      </c>
      <c r="L41" s="27" t="s">
        <v>82</v>
      </c>
      <c r="M41" s="22" t="s">
        <v>83</v>
      </c>
      <c r="N41" s="22" t="s">
        <v>77</v>
      </c>
      <c r="O41" s="22" t="s">
        <v>84</v>
      </c>
      <c r="P41" s="22" t="s">
        <v>85</v>
      </c>
      <c r="Q41" s="22" t="s">
        <v>86</v>
      </c>
      <c r="R41" s="22" t="s">
        <v>114</v>
      </c>
      <c r="S41" s="22" t="s">
        <v>88</v>
      </c>
      <c r="T41" s="22" t="s">
        <v>136</v>
      </c>
      <c r="U41" s="32" t="s">
        <v>137</v>
      </c>
      <c r="V41" s="22"/>
      <c r="W41" s="22"/>
      <c r="AA41" t="s">
        <v>138</v>
      </c>
    </row>
    <row r="42" spans="6:27" x14ac:dyDescent="0.25">
      <c r="L42" s="27">
        <v>-1</v>
      </c>
      <c r="M42" s="22">
        <v>1</v>
      </c>
      <c r="N42" s="22">
        <v>0</v>
      </c>
      <c r="O42" s="22">
        <v>-4</v>
      </c>
      <c r="P42" s="22">
        <f t="shared" ref="P42:P50" si="23">(N42)*(N42)*$T$2+(O42)*(O42)*$T$1-$U$1</f>
        <v>0</v>
      </c>
      <c r="Q42" s="22">
        <f t="shared" ref="Q42:Q50" si="24">(N42+L42)*(N42+L42)*$T$2+(O42+M42)*(O42+M42)*$T$1-$U$1</f>
        <v>-327</v>
      </c>
      <c r="R42" s="28">
        <f t="shared" ref="R42:R50" si="25">(N42+L42)*(N42+L42)*$T$2+O42*O42*$T$1-$U$1</f>
        <v>16</v>
      </c>
      <c r="S42" s="28">
        <f t="shared" ref="S42:S50" si="26">N42*N42*$T$2+(O42+M42)*(O42+M42)*$T$1-$U$1</f>
        <v>-343</v>
      </c>
      <c r="T42" s="28">
        <f>Q42+S42</f>
        <v>-670</v>
      </c>
      <c r="U42" s="29">
        <f>Q42+R42</f>
        <v>-311</v>
      </c>
      <c r="V42" s="28"/>
      <c r="W42" s="28">
        <f>P42-(2*N42-1)*$T$2+(2*O42+1)*$T$1</f>
        <v>-327</v>
      </c>
      <c r="AA42" t="s">
        <v>139</v>
      </c>
    </row>
    <row r="43" spans="6:27" x14ac:dyDescent="0.25">
      <c r="L43" s="27">
        <v>-1</v>
      </c>
      <c r="M43" s="22">
        <v>1</v>
      </c>
      <c r="N43" s="22">
        <v>-1</v>
      </c>
      <c r="O43" s="22">
        <v>-4</v>
      </c>
      <c r="P43" s="22">
        <f t="shared" si="23"/>
        <v>16</v>
      </c>
      <c r="Q43" s="22">
        <f t="shared" si="24"/>
        <v>-279</v>
      </c>
      <c r="R43" s="28">
        <f t="shared" si="25"/>
        <v>64</v>
      </c>
      <c r="S43" s="28">
        <f t="shared" si="26"/>
        <v>-327</v>
      </c>
      <c r="T43" s="28">
        <f>Q43+S43</f>
        <v>-606</v>
      </c>
      <c r="U43" s="29">
        <f>Q43+R43</f>
        <v>-215</v>
      </c>
      <c r="V43" s="28"/>
      <c r="W43" s="28">
        <f t="shared" ref="W43:W50" si="27">P43-(2*N43-1)*$T$2+(2*O43+1)*$T$1</f>
        <v>-279</v>
      </c>
      <c r="AA43" t="s">
        <v>140</v>
      </c>
    </row>
    <row r="44" spans="6:27" x14ac:dyDescent="0.25">
      <c r="L44" s="27">
        <v>-1</v>
      </c>
      <c r="M44" s="22">
        <v>1</v>
      </c>
      <c r="N44" s="22">
        <v>-2</v>
      </c>
      <c r="O44" s="22">
        <v>-4</v>
      </c>
      <c r="P44" s="22">
        <f t="shared" si="23"/>
        <v>64</v>
      </c>
      <c r="Q44" s="22">
        <f t="shared" si="24"/>
        <v>-199</v>
      </c>
      <c r="R44" s="28">
        <f t="shared" si="25"/>
        <v>144</v>
      </c>
      <c r="S44" s="28">
        <f t="shared" si="26"/>
        <v>-279</v>
      </c>
      <c r="T44" s="28">
        <f t="shared" ref="T44:T50" si="28">Q44+S44</f>
        <v>-478</v>
      </c>
      <c r="U44" s="29">
        <f t="shared" ref="U44:U50" si="29">Q44+R44</f>
        <v>-55</v>
      </c>
      <c r="V44" s="28"/>
      <c r="W44" s="28">
        <f t="shared" si="27"/>
        <v>-199</v>
      </c>
      <c r="AA44" s="30" t="s">
        <v>141</v>
      </c>
    </row>
    <row r="45" spans="6:27" x14ac:dyDescent="0.25">
      <c r="L45" s="27">
        <v>-1</v>
      </c>
      <c r="M45" s="22">
        <v>1</v>
      </c>
      <c r="N45" s="22">
        <v>-3</v>
      </c>
      <c r="O45" s="22">
        <v>-4</v>
      </c>
      <c r="P45" s="22">
        <f t="shared" si="23"/>
        <v>144</v>
      </c>
      <c r="Q45" s="22">
        <f t="shared" si="24"/>
        <v>-87</v>
      </c>
      <c r="R45" s="28">
        <f t="shared" si="25"/>
        <v>256</v>
      </c>
      <c r="S45" s="28">
        <f t="shared" si="26"/>
        <v>-199</v>
      </c>
      <c r="T45" s="28">
        <f t="shared" si="28"/>
        <v>-286</v>
      </c>
      <c r="U45" s="29">
        <f t="shared" si="29"/>
        <v>169</v>
      </c>
      <c r="V45" s="28"/>
      <c r="W45" s="28">
        <f t="shared" si="27"/>
        <v>-87</v>
      </c>
    </row>
    <row r="46" spans="6:27" x14ac:dyDescent="0.25">
      <c r="L46" s="27">
        <v>-1</v>
      </c>
      <c r="M46" s="22">
        <v>1</v>
      </c>
      <c r="N46" s="22">
        <v>-4</v>
      </c>
      <c r="O46" s="22">
        <v>-3</v>
      </c>
      <c r="P46" s="22">
        <f t="shared" si="23"/>
        <v>-87</v>
      </c>
      <c r="Q46" s="22">
        <f t="shared" si="24"/>
        <v>-188</v>
      </c>
      <c r="R46" s="28">
        <f t="shared" si="25"/>
        <v>57</v>
      </c>
      <c r="S46" s="28">
        <f t="shared" si="26"/>
        <v>-332</v>
      </c>
      <c r="T46" s="28">
        <f t="shared" si="28"/>
        <v>-520</v>
      </c>
      <c r="U46" s="29">
        <f t="shared" si="29"/>
        <v>-131</v>
      </c>
      <c r="V46" s="28"/>
      <c r="W46" s="28">
        <f t="shared" si="27"/>
        <v>-188</v>
      </c>
    </row>
    <row r="47" spans="6:27" x14ac:dyDescent="0.25">
      <c r="L47" s="27">
        <v>-1</v>
      </c>
      <c r="M47" s="22">
        <v>1</v>
      </c>
      <c r="N47" s="22">
        <v>-5</v>
      </c>
      <c r="O47" s="22">
        <v>-3</v>
      </c>
      <c r="P47" s="22">
        <f t="shared" si="23"/>
        <v>57</v>
      </c>
      <c r="Q47" s="22">
        <f t="shared" si="24"/>
        <v>-12</v>
      </c>
      <c r="R47" s="28">
        <f t="shared" si="25"/>
        <v>233</v>
      </c>
      <c r="S47" s="28">
        <f t="shared" si="26"/>
        <v>-188</v>
      </c>
      <c r="T47" s="28">
        <f t="shared" si="28"/>
        <v>-200</v>
      </c>
      <c r="U47" s="29">
        <f t="shared" si="29"/>
        <v>221</v>
      </c>
      <c r="V47" s="28"/>
      <c r="W47" s="28">
        <f t="shared" si="27"/>
        <v>-12</v>
      </c>
    </row>
    <row r="48" spans="6:27" x14ac:dyDescent="0.25">
      <c r="L48" s="27">
        <v>-1</v>
      </c>
      <c r="M48" s="22">
        <v>1</v>
      </c>
      <c r="N48" s="22">
        <v>-6</v>
      </c>
      <c r="O48" s="22">
        <v>-2</v>
      </c>
      <c r="P48" s="22">
        <f t="shared" si="23"/>
        <v>-12</v>
      </c>
      <c r="Q48" s="22">
        <f t="shared" si="24"/>
        <v>49</v>
      </c>
      <c r="R48" s="28">
        <f t="shared" si="25"/>
        <v>196</v>
      </c>
      <c r="S48" s="28">
        <f t="shared" si="26"/>
        <v>-159</v>
      </c>
      <c r="T48" s="28">
        <f t="shared" si="28"/>
        <v>-110</v>
      </c>
      <c r="U48" s="29">
        <f t="shared" si="29"/>
        <v>245</v>
      </c>
      <c r="V48" s="28"/>
      <c r="W48" s="28">
        <f t="shared" si="27"/>
        <v>49</v>
      </c>
    </row>
    <row r="49" spans="12:23" x14ac:dyDescent="0.25">
      <c r="L49" s="27">
        <v>-1</v>
      </c>
      <c r="M49" s="22">
        <v>1</v>
      </c>
      <c r="N49" s="22">
        <v>-7</v>
      </c>
      <c r="O49" s="22">
        <v>-1</v>
      </c>
      <c r="P49" s="22">
        <f t="shared" si="23"/>
        <v>49</v>
      </c>
      <c r="Q49" s="22">
        <f t="shared" si="24"/>
        <v>240</v>
      </c>
      <c r="R49" s="28">
        <f t="shared" si="25"/>
        <v>289</v>
      </c>
      <c r="S49" s="28">
        <f t="shared" si="26"/>
        <v>0</v>
      </c>
      <c r="T49" s="28">
        <f t="shared" si="28"/>
        <v>240</v>
      </c>
      <c r="U49" s="29">
        <f t="shared" si="29"/>
        <v>529</v>
      </c>
      <c r="V49" s="28"/>
      <c r="W49" s="28">
        <f t="shared" si="27"/>
        <v>240</v>
      </c>
    </row>
    <row r="50" spans="12:23" ht="15.75" thickBot="1" x14ac:dyDescent="0.3">
      <c r="L50" s="35">
        <v>-1</v>
      </c>
      <c r="M50" s="36">
        <v>1</v>
      </c>
      <c r="N50" s="36">
        <v>-7</v>
      </c>
      <c r="O50" s="36">
        <v>0</v>
      </c>
      <c r="P50" s="36">
        <f t="shared" si="23"/>
        <v>0</v>
      </c>
      <c r="Q50" s="36">
        <f t="shared" si="24"/>
        <v>289</v>
      </c>
      <c r="R50" s="37">
        <f t="shared" si="25"/>
        <v>240</v>
      </c>
      <c r="S50" s="37">
        <f t="shared" si="26"/>
        <v>49</v>
      </c>
      <c r="T50" s="37">
        <f t="shared" si="28"/>
        <v>338</v>
      </c>
      <c r="U50" s="38">
        <f t="shared" si="29"/>
        <v>529</v>
      </c>
      <c r="V50" s="28"/>
      <c r="W50" s="28">
        <f t="shared" si="27"/>
        <v>289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Лист3</vt:lpstr>
      <vt:lpstr>arc</vt:lpstr>
      <vt:lpstr>ellipse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Taranov</dc:creator>
  <cp:lastModifiedBy>Сергей Таранов</cp:lastModifiedBy>
  <dcterms:created xsi:type="dcterms:W3CDTF">2018-12-04T08:21:19Z</dcterms:created>
  <dcterms:modified xsi:type="dcterms:W3CDTF">2025-02-20T22:26:42Z</dcterms:modified>
</cp:coreProperties>
</file>