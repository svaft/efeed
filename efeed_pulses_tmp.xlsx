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projects\efeed\"/>
    </mc:Choice>
  </mc:AlternateContent>
  <bookViews>
    <workbookView xWindow="0" yWindow="0" windowWidth="27195" windowHeight="130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N20" i="1"/>
  <c r="H33" i="1"/>
  <c r="K33" i="1"/>
  <c r="H28" i="1"/>
  <c r="H1" i="1"/>
  <c r="B36" i="1"/>
  <c r="K13" i="1"/>
  <c r="K15" i="1" s="1"/>
  <c r="D38" i="1"/>
  <c r="H2" i="1"/>
  <c r="B21" i="1"/>
  <c r="C9" i="1"/>
  <c r="C8" i="1" l="1"/>
  <c r="F30" i="1" l="1"/>
  <c r="E30" i="1"/>
  <c r="H4" i="1"/>
  <c r="H3" i="1"/>
  <c r="J3" i="1" s="1"/>
  <c r="H6" i="1"/>
  <c r="G10" i="1" s="1"/>
  <c r="H10" i="1" s="1"/>
  <c r="H5" i="1"/>
  <c r="C34" i="1" s="1"/>
  <c r="B17" i="1"/>
  <c r="T5" i="1"/>
  <c r="E7" i="1"/>
  <c r="E8" i="1" s="1"/>
  <c r="H17" i="1"/>
  <c r="G20" i="1"/>
  <c r="H20" i="1" s="1"/>
  <c r="O3" i="1"/>
  <c r="P5" i="1"/>
  <c r="R1" i="1"/>
  <c r="J6" i="1"/>
  <c r="B23" i="1" l="1"/>
  <c r="B22" i="1"/>
  <c r="G8" i="1"/>
  <c r="C2" i="1"/>
  <c r="B24" i="1" l="1"/>
  <c r="B25" i="1"/>
  <c r="E22" i="1"/>
  <c r="C3" i="1"/>
  <c r="H8" i="1"/>
  <c r="B8" i="1" s="1"/>
  <c r="B6" i="1" s="1"/>
  <c r="I8" i="1" l="1"/>
  <c r="B18" i="1"/>
  <c r="B19" i="1" s="1"/>
  <c r="V17" i="1"/>
  <c r="W16" i="1" s="1"/>
  <c r="B12" i="1"/>
  <c r="C12" i="1"/>
  <c r="O5" i="1"/>
  <c r="D22" i="1" l="1"/>
  <c r="C14" i="1"/>
  <c r="C15" i="1" s="1"/>
  <c r="C13" i="1"/>
  <c r="C26" i="1" s="1"/>
  <c r="B14" i="1"/>
  <c r="B26" i="1"/>
  <c r="D14" i="1" l="1"/>
  <c r="D19" i="1" s="1"/>
  <c r="B27" i="1"/>
  <c r="B29" i="1" s="1"/>
  <c r="B30" i="1" s="1"/>
  <c r="B28" i="1"/>
  <c r="C27" i="1"/>
  <c r="C28" i="1"/>
  <c r="D28" i="1"/>
  <c r="D20" i="1" l="1"/>
  <c r="D21" i="1" s="1"/>
  <c r="D23" i="1"/>
  <c r="D25" i="1" s="1"/>
  <c r="D27" i="1" s="1"/>
  <c r="E26" i="1" s="1"/>
  <c r="F26" i="1" s="1"/>
  <c r="C35" i="1"/>
  <c r="C36" i="1" s="1"/>
  <c r="D36" i="1" s="1"/>
  <c r="C33" i="1"/>
  <c r="A30" i="1"/>
  <c r="B33" i="1"/>
</calcChain>
</file>

<file path=xl/sharedStrings.xml><?xml version="1.0" encoding="utf-8"?>
<sst xmlns="http://schemas.openxmlformats.org/spreadsheetml/2006/main" count="28" uniqueCount="27">
  <si>
    <t>freq</t>
  </si>
  <si>
    <t>psc</t>
  </si>
  <si>
    <t>arr</t>
  </si>
  <si>
    <t xml:space="preserve"> </t>
  </si>
  <si>
    <t>z steps</t>
  </si>
  <si>
    <t>x steps</t>
  </si>
  <si>
    <t>mm</t>
  </si>
  <si>
    <t>мм</t>
  </si>
  <si>
    <t>z</t>
  </si>
  <si>
    <t>x</t>
  </si>
  <si>
    <t>coord</t>
  </si>
  <si>
    <t>steps 2210</t>
  </si>
  <si>
    <t>steps by z</t>
  </si>
  <si>
    <t>диагональ</t>
  </si>
  <si>
    <t>подача</t>
  </si>
  <si>
    <t>мм/мин</t>
  </si>
  <si>
    <t>пульсов в сек</t>
  </si>
  <si>
    <t>сек</t>
  </si>
  <si>
    <t>время в пути</t>
  </si>
  <si>
    <t>пульсов таймера в пути</t>
  </si>
  <si>
    <t>пульсов на шаг</t>
  </si>
  <si>
    <t>пульсов на шаг 2210</t>
  </si>
  <si>
    <t>пульсов на шаг 1616</t>
  </si>
  <si>
    <t>время в пути 2210</t>
  </si>
  <si>
    <t>диагональ в шагах</t>
  </si>
  <si>
    <t>диагональ в шагах 2210</t>
  </si>
  <si>
    <t>us 1 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</si>
</sst>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\ _₽_-;\-* #,##0.00\ _₽_-;_-* &quot;-&quot;??\ _₽_-;_-@_-"/>
    <numFmt numFmtId="164" formatCode="0.000000"/>
    <numFmt numFmtId="168" formatCode="0.000"/>
    <numFmt numFmtId="169" formatCode="0.0"/>
    <numFmt numFmtId="172" formatCode="_-* #,##0\ _₽_-;\-* #,##0\ _₽_-;_-* &quot;-&quot;??\ _₽_-;_-@_-"/>
    <numFmt numFmtId="173" formatCode="_-* #,##0.000\ _₽_-;\-* #,##0.000\ _₽_-;_-* &quot;-&quot;??\ _₽_-;_-@_-"/>
    <numFmt numFmtId="174" formatCode="_-* #,##0.000\ _₽_-;\-* #,##0.000\ _₽_-;_-* &quot;-&quot;???\ _₽_-;_-@_-"/>
    <numFmt numFmtId="179" formatCode="_-* #,##0.00000000\ _₽_-;\-* #,##0.00000000\ _₽_-;_-* &quot;-&quot;???\ _₽_-;_-@_-"/>
    <numFmt numFmtId="182" formatCode="_-* #,##0.00000\ _₽_-;\-* #,##0.00000\ _₽_-;_-* &quot;-&quot;??\ _₽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/>
    <xf numFmtId="43" fontId="0" fillId="0" borderId="0" xfId="1" applyFont="1"/>
    <xf numFmtId="172" fontId="0" fillId="0" borderId="0" xfId="1" applyNumberFormat="1" applyFont="1"/>
    <xf numFmtId="172" fontId="0" fillId="0" borderId="0" xfId="0" applyNumberFormat="1"/>
    <xf numFmtId="168" fontId="0" fillId="2" borderId="0" xfId="0" applyNumberFormat="1" applyFill="1"/>
    <xf numFmtId="43" fontId="0" fillId="0" borderId="0" xfId="0" applyNumberFormat="1"/>
    <xf numFmtId="173" fontId="0" fillId="0" borderId="0" xfId="0" applyNumberFormat="1"/>
    <xf numFmtId="174" fontId="0" fillId="0" borderId="0" xfId="0" applyNumberFormat="1"/>
    <xf numFmtId="179" fontId="0" fillId="0" borderId="0" xfId="0" applyNumberFormat="1"/>
    <xf numFmtId="169" fontId="0" fillId="2" borderId="0" xfId="0" applyNumberFormat="1" applyFill="1"/>
    <xf numFmtId="182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zoomScaleNormal="100" workbookViewId="0">
      <selection activeCell="B24" sqref="B24"/>
    </sheetView>
  </sheetViews>
  <sheetFormatPr defaultRowHeight="15" x14ac:dyDescent="0.25"/>
  <cols>
    <col min="1" max="1" width="26.42578125" customWidth="1"/>
    <col min="2" max="2" width="19.85546875" customWidth="1"/>
    <col min="3" max="3" width="16" customWidth="1"/>
    <col min="4" max="4" width="25.28515625" customWidth="1"/>
    <col min="5" max="5" width="15.7109375" bestFit="1" customWidth="1"/>
    <col min="7" max="7" width="19.7109375" customWidth="1"/>
    <col min="8" max="8" width="27.140625" bestFit="1" customWidth="1"/>
    <col min="10" max="10" width="15" customWidth="1"/>
    <col min="11" max="11" width="13.140625" bestFit="1" customWidth="1"/>
    <col min="14" max="14" width="12" bestFit="1" customWidth="1"/>
  </cols>
  <sheetData>
    <row r="1" spans="1:23" x14ac:dyDescent="0.25">
      <c r="A1" t="s">
        <v>0</v>
      </c>
      <c r="B1">
        <v>72000000</v>
      </c>
      <c r="G1">
        <v>64</v>
      </c>
      <c r="H1" s="6">
        <f>POWER(2,G1)</f>
        <v>1.8446744073709552E+19</v>
      </c>
      <c r="R1">
        <f>SIN(RADIANS(45))</f>
        <v>0.70710678118654746</v>
      </c>
    </row>
    <row r="2" spans="1:23" x14ac:dyDescent="0.25">
      <c r="A2" t="s">
        <v>1</v>
      </c>
      <c r="B2">
        <v>240</v>
      </c>
      <c r="C2" s="6">
        <f>B1/B2</f>
        <v>300000</v>
      </c>
      <c r="D2" t="s">
        <v>16</v>
      </c>
      <c r="G2">
        <v>6</v>
      </c>
      <c r="H2">
        <f>POWER(2,G2)</f>
        <v>64</v>
      </c>
    </row>
    <row r="3" spans="1:23" x14ac:dyDescent="0.25">
      <c r="A3" t="s">
        <v>2</v>
      </c>
      <c r="B3">
        <v>50</v>
      </c>
      <c r="C3">
        <f>C2/B3</f>
        <v>6000</v>
      </c>
      <c r="G3">
        <v>32</v>
      </c>
      <c r="H3" s="6">
        <f>POWER(2,G3)</f>
        <v>4294967296</v>
      </c>
      <c r="J3" s="7">
        <f>H3/300000/60</f>
        <v>238.60929422222222</v>
      </c>
      <c r="M3">
        <v>600</v>
      </c>
      <c r="O3">
        <f>600</f>
        <v>600</v>
      </c>
    </row>
    <row r="4" spans="1:23" x14ac:dyDescent="0.25">
      <c r="B4" s="14">
        <f>1/C2*1000000</f>
        <v>3.3333333333333335</v>
      </c>
      <c r="C4" t="s">
        <v>26</v>
      </c>
      <c r="G4">
        <v>24</v>
      </c>
      <c r="H4">
        <f>POWER(2,G4)</f>
        <v>16777216</v>
      </c>
      <c r="O4" t="s">
        <v>4</v>
      </c>
      <c r="P4" t="s">
        <v>5</v>
      </c>
    </row>
    <row r="5" spans="1:23" x14ac:dyDescent="0.25">
      <c r="G5">
        <v>16</v>
      </c>
      <c r="H5">
        <f>POWER(2,G5)</f>
        <v>65536</v>
      </c>
      <c r="O5">
        <f>O3/H8</f>
        <v>96000</v>
      </c>
      <c r="P5">
        <f>O3/0.01</f>
        <v>60000</v>
      </c>
      <c r="T5">
        <f>COS(RADIANS(45))</f>
        <v>0.70710678118654757</v>
      </c>
    </row>
    <row r="6" spans="1:23" x14ac:dyDescent="0.25">
      <c r="B6">
        <f>B8/B9</f>
        <v>160</v>
      </c>
      <c r="C6" s="1"/>
      <c r="G6">
        <v>10</v>
      </c>
      <c r="H6">
        <f>POWER(2,G6)</f>
        <v>1024</v>
      </c>
      <c r="J6">
        <f>SQRT(600*600*2)</f>
        <v>848.52813742385706</v>
      </c>
    </row>
    <row r="7" spans="1:23" x14ac:dyDescent="0.25">
      <c r="E7" s="2">
        <f>SQRT(G7*G7*2)</f>
        <v>2317047.500592079</v>
      </c>
      <c r="G7">
        <v>1638400</v>
      </c>
    </row>
    <row r="8" spans="1:23" x14ac:dyDescent="0.25">
      <c r="B8">
        <f>600/H8</f>
        <v>96000</v>
      </c>
      <c r="C8" s="5">
        <f>C9*160</f>
        <v>98304000</v>
      </c>
      <c r="E8">
        <f>E7/1024</f>
        <v>2262.7416997969522</v>
      </c>
      <c r="G8">
        <f>G7/H6</f>
        <v>1600</v>
      </c>
      <c r="H8">
        <f>10/G8</f>
        <v>6.2500000000000003E-3</v>
      </c>
      <c r="I8">
        <f>G8*H8</f>
        <v>10</v>
      </c>
      <c r="J8" t="s">
        <v>6</v>
      </c>
    </row>
    <row r="9" spans="1:23" x14ac:dyDescent="0.25">
      <c r="A9" t="s">
        <v>14</v>
      </c>
      <c r="B9">
        <v>600</v>
      </c>
      <c r="C9">
        <f>B9*1024</f>
        <v>614400</v>
      </c>
      <c r="D9" t="s">
        <v>15</v>
      </c>
      <c r="G9">
        <v>1024000</v>
      </c>
    </row>
    <row r="10" spans="1:23" x14ac:dyDescent="0.25">
      <c r="B10" s="3" t="s">
        <v>8</v>
      </c>
      <c r="C10" s="3" t="s">
        <v>9</v>
      </c>
      <c r="G10">
        <f>G9/H6</f>
        <v>1000</v>
      </c>
      <c r="H10">
        <f>G10*0.01</f>
        <v>10</v>
      </c>
    </row>
    <row r="11" spans="1:23" x14ac:dyDescent="0.25">
      <c r="A11" t="s">
        <v>10</v>
      </c>
      <c r="B11">
        <v>10</v>
      </c>
      <c r="C11">
        <v>10</v>
      </c>
      <c r="D11" t="s">
        <v>7</v>
      </c>
    </row>
    <row r="12" spans="1:23" x14ac:dyDescent="0.25">
      <c r="A12" t="s">
        <v>12</v>
      </c>
      <c r="B12">
        <f>B11/H8</f>
        <v>1600</v>
      </c>
      <c r="C12">
        <f>C11/H8</f>
        <v>1600</v>
      </c>
    </row>
    <row r="13" spans="1:23" x14ac:dyDescent="0.25">
      <c r="C13">
        <f>C12/1.6</f>
        <v>1000</v>
      </c>
      <c r="K13">
        <f>1800*2</f>
        <v>3600</v>
      </c>
    </row>
    <row r="14" spans="1:23" x14ac:dyDescent="0.25">
      <c r="A14" t="s">
        <v>11</v>
      </c>
      <c r="B14">
        <f>B12*1024</f>
        <v>1638400</v>
      </c>
      <c r="C14">
        <f>C12*1024</f>
        <v>1638400</v>
      </c>
      <c r="D14">
        <f>ROUNDDOWN(SQRT(B14*B14*2),0)</f>
        <v>2317047</v>
      </c>
      <c r="K14">
        <v>2000</v>
      </c>
    </row>
    <row r="15" spans="1:23" x14ac:dyDescent="0.25">
      <c r="C15">
        <f>C14/1.6</f>
        <v>1024000</v>
      </c>
      <c r="K15" s="6">
        <f>K14*K13/60</f>
        <v>120000</v>
      </c>
    </row>
    <row r="16" spans="1:23" x14ac:dyDescent="0.25">
      <c r="V16">
        <v>3600</v>
      </c>
      <c r="W16">
        <f>V16/V17</f>
        <v>7.5</v>
      </c>
    </row>
    <row r="17" spans="1:22" x14ac:dyDescent="0.25">
      <c r="A17" t="s">
        <v>13</v>
      </c>
      <c r="B17">
        <f>SQRT(B11*B11+C11*C11)</f>
        <v>14.142135623730951</v>
      </c>
      <c r="D17" t="s">
        <v>7</v>
      </c>
      <c r="G17">
        <v>819200</v>
      </c>
      <c r="H17">
        <f>G17/1024*2</f>
        <v>1600</v>
      </c>
      <c r="V17">
        <f>3/H8</f>
        <v>480</v>
      </c>
    </row>
    <row r="18" spans="1:22" x14ac:dyDescent="0.25">
      <c r="A18" t="s">
        <v>24</v>
      </c>
      <c r="B18">
        <f>B17/H8</f>
        <v>2262.7416997969522</v>
      </c>
      <c r="O18" t="s">
        <v>3</v>
      </c>
    </row>
    <row r="19" spans="1:22" x14ac:dyDescent="0.25">
      <c r="A19" t="s">
        <v>25</v>
      </c>
      <c r="B19" s="13">
        <f>B18*1024</f>
        <v>2317047.500592079</v>
      </c>
      <c r="D19" s="6">
        <f>D14</f>
        <v>2317047</v>
      </c>
      <c r="G19">
        <v>512000</v>
      </c>
    </row>
    <row r="20" spans="1:22" x14ac:dyDescent="0.25">
      <c r="D20" s="5">
        <f>D19*60</f>
        <v>139022820</v>
      </c>
      <c r="G20">
        <f>G19/1024</f>
        <v>500</v>
      </c>
      <c r="H20">
        <f>10/G20</f>
        <v>0.02</v>
      </c>
      <c r="N20">
        <f>1/300000</f>
        <v>3.3333333333333333E-6</v>
      </c>
    </row>
    <row r="21" spans="1:22" x14ac:dyDescent="0.25">
      <c r="B21">
        <f>60*1024</f>
        <v>61440</v>
      </c>
      <c r="D21" s="5">
        <f>D20/C8</f>
        <v>1.4142132568359376</v>
      </c>
      <c r="G21">
        <v>1716536</v>
      </c>
    </row>
    <row r="22" spans="1:22" x14ac:dyDescent="0.25">
      <c r="A22" t="s">
        <v>18</v>
      </c>
      <c r="B22">
        <f>B17*60/C9*1024</f>
        <v>1.4142135623730951</v>
      </c>
      <c r="C22" t="s">
        <v>17</v>
      </c>
      <c r="D22" s="10">
        <f>B19*60*1024*C2/C9/160</f>
        <v>434446406.36101472</v>
      </c>
      <c r="E22" s="7">
        <f>60*1024*C2/160</f>
        <v>115200000</v>
      </c>
    </row>
    <row r="23" spans="1:22" x14ac:dyDescent="0.25">
      <c r="A23" t="s">
        <v>23</v>
      </c>
      <c r="B23">
        <f>ROUNDDOWN(B22*1024,0)</f>
        <v>1448</v>
      </c>
      <c r="D23" s="6">
        <f>ROUNDDOWN(D19*60/B9/160,0)</f>
        <v>1448</v>
      </c>
    </row>
    <row r="24" spans="1:22" x14ac:dyDescent="0.25">
      <c r="B24" s="7">
        <f>B22*C2*1024*1024</f>
        <v>444873120113.6792</v>
      </c>
    </row>
    <row r="25" spans="1:22" x14ac:dyDescent="0.25">
      <c r="A25" t="s">
        <v>19</v>
      </c>
      <c r="B25" s="5">
        <f>B22*C2</f>
        <v>424264.06871192856</v>
      </c>
      <c r="D25" s="7">
        <f>D23*C2</f>
        <v>434400000</v>
      </c>
    </row>
    <row r="26" spans="1:22" x14ac:dyDescent="0.25">
      <c r="A26" t="s">
        <v>20</v>
      </c>
      <c r="B26" s="8">
        <f>$B$25/B12</f>
        <v>265.16504294495536</v>
      </c>
      <c r="C26" s="8">
        <f>$B$25/C13</f>
        <v>424.26406871192853</v>
      </c>
      <c r="D26" s="4"/>
      <c r="E26" s="10">
        <f>D27/1024</f>
        <v>265.13671875</v>
      </c>
      <c r="F26" s="11">
        <f>B26-E26</f>
        <v>2.8324194955359872E-2</v>
      </c>
      <c r="G26" s="12"/>
    </row>
    <row r="27" spans="1:22" x14ac:dyDescent="0.25">
      <c r="A27" t="s">
        <v>21</v>
      </c>
      <c r="B27" s="4">
        <f>B25/B14</f>
        <v>0.25895023725093297</v>
      </c>
      <c r="C27" s="4">
        <f>B25/C15</f>
        <v>0.41432037960149271</v>
      </c>
      <c r="D27" s="7">
        <f>D25/B12</f>
        <v>271500</v>
      </c>
    </row>
    <row r="28" spans="1:22" x14ac:dyDescent="0.25">
      <c r="A28" t="s">
        <v>22</v>
      </c>
      <c r="B28" s="5">
        <f>B25*65536*1024/B14</f>
        <v>17377856.254440594</v>
      </c>
      <c r="C28" s="4">
        <f>B25*64/C15</f>
        <v>26.516504294495533</v>
      </c>
      <c r="D28" s="10">
        <f>D22/B14</f>
        <v>265.1650429449553</v>
      </c>
      <c r="G28">
        <v>25</v>
      </c>
      <c r="H28">
        <f>G28/10000</f>
        <v>2.5000000000000001E-3</v>
      </c>
    </row>
    <row r="29" spans="1:22" x14ac:dyDescent="0.25">
      <c r="B29">
        <f>B27/1024</f>
        <v>2.5288109106536423E-4</v>
      </c>
      <c r="E29">
        <v>614400</v>
      </c>
    </row>
    <row r="30" spans="1:22" x14ac:dyDescent="0.25">
      <c r="A30" s="9">
        <f>B28/65536</f>
        <v>265.16504294495536</v>
      </c>
      <c r="B30">
        <f>B29*H5</f>
        <v>16.57281518405971</v>
      </c>
      <c r="E30">
        <f>E29/65536</f>
        <v>9.375</v>
      </c>
      <c r="F30">
        <f>E29/1024</f>
        <v>600</v>
      </c>
      <c r="H30">
        <v>5368709120000</v>
      </c>
    </row>
    <row r="33" spans="2:11" x14ac:dyDescent="0.25">
      <c r="B33">
        <f>B28/65536</f>
        <v>265.16504294495536</v>
      </c>
      <c r="C33">
        <f>C28/65536</f>
        <v>4.0460974570458272E-4</v>
      </c>
      <c r="H33" s="4">
        <f>1024*1024*64*60*300000/160</f>
        <v>7549747200000</v>
      </c>
      <c r="K33">
        <f>400/2.5</f>
        <v>160</v>
      </c>
    </row>
    <row r="34" spans="2:11" x14ac:dyDescent="0.25">
      <c r="C34">
        <f>42*H5</f>
        <v>2752512</v>
      </c>
    </row>
    <row r="35" spans="2:11" x14ac:dyDescent="0.25">
      <c r="C35" s="4">
        <f>C28-C34</f>
        <v>-2752485.4834957053</v>
      </c>
    </row>
    <row r="36" spans="2:11" x14ac:dyDescent="0.25">
      <c r="B36">
        <f>65536/1024</f>
        <v>64</v>
      </c>
      <c r="C36" s="4">
        <f>C28+C35</f>
        <v>-2752458.9669914106</v>
      </c>
      <c r="D36">
        <f>C36/65536</f>
        <v>-41.999190780508584</v>
      </c>
    </row>
    <row r="37" spans="2:11" x14ac:dyDescent="0.25">
      <c r="C37">
        <v>75</v>
      </c>
      <c r="D37">
        <v>1476</v>
      </c>
    </row>
    <row r="38" spans="2:11" x14ac:dyDescent="0.25">
      <c r="D38">
        <f>D37/C37</f>
        <v>19.68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Таранов</dc:creator>
  <cp:lastModifiedBy>Сергей Таранов</cp:lastModifiedBy>
  <dcterms:created xsi:type="dcterms:W3CDTF">2025-02-19T07:36:46Z</dcterms:created>
  <dcterms:modified xsi:type="dcterms:W3CDTF">2025-02-20T11:47:19Z</dcterms:modified>
</cp:coreProperties>
</file>